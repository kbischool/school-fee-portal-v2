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2A16758B-C668-4C10-8774-B70E2515AE17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21" i="14" l="1"/>
  <c r="AA121" i="14"/>
  <c r="N27" i="14"/>
  <c r="M27" i="14"/>
  <c r="L27" i="14"/>
  <c r="K27" i="14"/>
  <c r="J27" i="14"/>
  <c r="N55" i="14"/>
  <c r="M55" i="14"/>
  <c r="L55" i="14"/>
  <c r="K55" i="14"/>
  <c r="J55" i="14"/>
  <c r="N3" i="14"/>
  <c r="M3" i="14"/>
  <c r="L3" i="14"/>
  <c r="K3" i="14"/>
  <c r="J3" i="14"/>
  <c r="N2" i="14"/>
  <c r="M2" i="14"/>
  <c r="L2" i="14"/>
  <c r="K2" i="14"/>
  <c r="J2" i="14"/>
  <c r="N4" i="14"/>
  <c r="M4" i="14"/>
  <c r="L4" i="14"/>
  <c r="K4" i="14"/>
  <c r="J4" i="14"/>
  <c r="J87" i="14"/>
  <c r="K87" i="14"/>
  <c r="L87" i="14"/>
  <c r="M87" i="14"/>
  <c r="N87" i="14"/>
  <c r="J32" i="14"/>
  <c r="K32" i="14"/>
  <c r="L32" i="14"/>
  <c r="M32" i="14"/>
  <c r="N32" i="14"/>
  <c r="J21" i="14"/>
  <c r="K21" i="14"/>
  <c r="L21" i="14"/>
  <c r="M21" i="14"/>
  <c r="N21" i="14"/>
  <c r="L51" i="14"/>
  <c r="L52" i="14"/>
  <c r="L53" i="14"/>
  <c r="L54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112" i="14"/>
  <c r="L41" i="14"/>
  <c r="L42" i="14"/>
  <c r="L43" i="14"/>
  <c r="L44" i="14"/>
  <c r="L45" i="14"/>
  <c r="L46" i="14"/>
  <c r="L47" i="14"/>
  <c r="L48" i="14"/>
  <c r="L49" i="14"/>
  <c r="L78" i="14"/>
  <c r="L79" i="14"/>
  <c r="L80" i="14"/>
  <c r="L81" i="14"/>
  <c r="L82" i="14"/>
  <c r="L83" i="14"/>
  <c r="L84" i="14"/>
  <c r="L85" i="14"/>
  <c r="L86" i="14"/>
  <c r="L68" i="14"/>
  <c r="L69" i="14"/>
  <c r="L70" i="14"/>
  <c r="L71" i="14"/>
  <c r="L72" i="14"/>
  <c r="L73" i="14"/>
  <c r="L74" i="14"/>
  <c r="L75" i="14"/>
  <c r="L76" i="14"/>
  <c r="L77" i="14"/>
  <c r="L22" i="14"/>
  <c r="L23" i="14"/>
  <c r="L24" i="14"/>
  <c r="L25" i="14"/>
  <c r="L26" i="14"/>
  <c r="L28" i="14"/>
  <c r="L29" i="14"/>
  <c r="L30" i="14"/>
  <c r="L31" i="14"/>
  <c r="L33" i="14"/>
  <c r="L34" i="14"/>
  <c r="L35" i="14"/>
  <c r="L36" i="14"/>
  <c r="L37" i="14"/>
  <c r="L38" i="14"/>
  <c r="L39" i="14"/>
  <c r="L40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3" i="14"/>
  <c r="L114" i="14"/>
  <c r="L115" i="14"/>
  <c r="L116" i="14"/>
  <c r="L117" i="14"/>
  <c r="L118" i="14"/>
  <c r="L119" i="14"/>
  <c r="L120" i="14"/>
  <c r="B15" i="12"/>
  <c r="B9" i="12"/>
  <c r="B3" i="12"/>
  <c r="M113" i="14"/>
  <c r="M41" i="14"/>
  <c r="M68" i="14"/>
  <c r="M69" i="14"/>
  <c r="M70" i="14"/>
  <c r="M22" i="14"/>
  <c r="M95" i="14"/>
  <c r="M5" i="14"/>
  <c r="M112" i="14"/>
  <c r="M42" i="14"/>
  <c r="M96" i="14"/>
  <c r="M50" i="14"/>
  <c r="M43" i="14"/>
  <c r="M97" i="14"/>
  <c r="M78" i="14"/>
  <c r="M71" i="14"/>
  <c r="M108" i="14"/>
  <c r="M10" i="14"/>
  <c r="M6" i="14"/>
  <c r="M88" i="14"/>
  <c r="M89" i="14"/>
  <c r="M7" i="14"/>
  <c r="M11" i="14"/>
  <c r="M72" i="14"/>
  <c r="M51" i="14"/>
  <c r="M73" i="14"/>
  <c r="M114" i="14"/>
  <c r="M52" i="14"/>
  <c r="M23" i="14"/>
  <c r="M44" i="14"/>
  <c r="M90" i="14"/>
  <c r="M53" i="14"/>
  <c r="M24" i="14"/>
  <c r="M54" i="14"/>
  <c r="M12" i="14"/>
  <c r="M13" i="14"/>
  <c r="M115" i="14"/>
  <c r="M14" i="14"/>
  <c r="M15" i="14"/>
  <c r="M116" i="14"/>
  <c r="M45" i="14"/>
  <c r="M109" i="14"/>
  <c r="M79" i="14"/>
  <c r="M16" i="14"/>
  <c r="M91" i="14"/>
  <c r="M110" i="14"/>
  <c r="M74" i="14"/>
  <c r="M56" i="14"/>
  <c r="M25" i="14"/>
  <c r="M80" i="14"/>
  <c r="M26" i="14"/>
  <c r="M81" i="14"/>
  <c r="M98" i="14"/>
  <c r="M17" i="14"/>
  <c r="M104" i="14"/>
  <c r="M8" i="14"/>
  <c r="M57" i="14"/>
  <c r="M28" i="14"/>
  <c r="M29" i="14"/>
  <c r="M105" i="14"/>
  <c r="M58" i="14"/>
  <c r="M59" i="14"/>
  <c r="M46" i="14"/>
  <c r="M60" i="14"/>
  <c r="M30" i="14"/>
  <c r="M31" i="14"/>
  <c r="M99" i="14"/>
  <c r="M9" i="14"/>
  <c r="M100" i="14"/>
  <c r="M117" i="14"/>
  <c r="M33" i="14"/>
  <c r="M61" i="14"/>
  <c r="M62" i="14"/>
  <c r="M120" i="14"/>
  <c r="M63" i="14"/>
  <c r="M82" i="14"/>
  <c r="M34" i="14"/>
  <c r="M64" i="14"/>
  <c r="M35" i="14"/>
  <c r="M83" i="14"/>
  <c r="M36" i="14"/>
  <c r="M101" i="14"/>
  <c r="M84" i="14"/>
  <c r="M106" i="14"/>
  <c r="M85" i="14"/>
  <c r="M75" i="14"/>
  <c r="M18" i="14"/>
  <c r="M65" i="14"/>
  <c r="M37" i="14"/>
  <c r="M92" i="14"/>
  <c r="M19" i="14"/>
  <c r="M38" i="14"/>
  <c r="M102" i="14"/>
  <c r="M47" i="14"/>
  <c r="M103" i="14"/>
  <c r="M48" i="14"/>
  <c r="M49" i="14"/>
  <c r="M39" i="14"/>
  <c r="M93" i="14"/>
  <c r="M111" i="14"/>
  <c r="M118" i="14"/>
  <c r="M86" i="14"/>
  <c r="M76" i="14"/>
  <c r="M107" i="14"/>
  <c r="M66" i="14"/>
  <c r="M20" i="14"/>
  <c r="M119" i="14"/>
  <c r="M94" i="14"/>
  <c r="M67" i="14"/>
  <c r="M77" i="14"/>
  <c r="M40" i="14"/>
  <c r="J113" i="14"/>
  <c r="J41" i="14"/>
  <c r="J68" i="14"/>
  <c r="J69" i="14"/>
  <c r="J70" i="14"/>
  <c r="J22" i="14"/>
  <c r="J95" i="14"/>
  <c r="J5" i="14"/>
  <c r="J112" i="14"/>
  <c r="J42" i="14"/>
  <c r="J96" i="14"/>
  <c r="J50" i="14"/>
  <c r="J43" i="14"/>
  <c r="J97" i="14"/>
  <c r="J78" i="14"/>
  <c r="J71" i="14"/>
  <c r="J108" i="14"/>
  <c r="J10" i="14"/>
  <c r="J6" i="14"/>
  <c r="J88" i="14"/>
  <c r="J89" i="14"/>
  <c r="J7" i="14"/>
  <c r="J11" i="14"/>
  <c r="J72" i="14"/>
  <c r="J51" i="14"/>
  <c r="J73" i="14"/>
  <c r="J114" i="14"/>
  <c r="J52" i="14"/>
  <c r="J23" i="14"/>
  <c r="J44" i="14"/>
  <c r="J90" i="14"/>
  <c r="J53" i="14"/>
  <c r="J24" i="14"/>
  <c r="J54" i="14"/>
  <c r="J12" i="14"/>
  <c r="J13" i="14"/>
  <c r="J115" i="14"/>
  <c r="J14" i="14"/>
  <c r="J15" i="14"/>
  <c r="J116" i="14"/>
  <c r="J45" i="14"/>
  <c r="J109" i="14"/>
  <c r="J79" i="14"/>
  <c r="J16" i="14"/>
  <c r="J91" i="14"/>
  <c r="J110" i="14"/>
  <c r="J74" i="14"/>
  <c r="J56" i="14"/>
  <c r="J25" i="14"/>
  <c r="J80" i="14"/>
  <c r="J26" i="14"/>
  <c r="J81" i="14"/>
  <c r="J98" i="14"/>
  <c r="J17" i="14"/>
  <c r="J104" i="14"/>
  <c r="J8" i="14"/>
  <c r="J57" i="14"/>
  <c r="J28" i="14"/>
  <c r="J29" i="14"/>
  <c r="J105" i="14"/>
  <c r="J58" i="14"/>
  <c r="J59" i="14"/>
  <c r="J46" i="14"/>
  <c r="J60" i="14"/>
  <c r="J30" i="14"/>
  <c r="J31" i="14"/>
  <c r="J99" i="14"/>
  <c r="J9" i="14"/>
  <c r="J100" i="14"/>
  <c r="J117" i="14"/>
  <c r="J33" i="14"/>
  <c r="J61" i="14"/>
  <c r="J62" i="14"/>
  <c r="J120" i="14"/>
  <c r="J63" i="14"/>
  <c r="J82" i="14"/>
  <c r="J34" i="14"/>
  <c r="J64" i="14"/>
  <c r="J35" i="14"/>
  <c r="J83" i="14"/>
  <c r="J36" i="14"/>
  <c r="J101" i="14"/>
  <c r="J84" i="14"/>
  <c r="J106" i="14"/>
  <c r="J85" i="14"/>
  <c r="J75" i="14"/>
  <c r="J18" i="14"/>
  <c r="J65" i="14"/>
  <c r="J37" i="14"/>
  <c r="J92" i="14"/>
  <c r="J19" i="14"/>
  <c r="J38" i="14"/>
  <c r="J102" i="14"/>
  <c r="J47" i="14"/>
  <c r="J103" i="14"/>
  <c r="J48" i="14"/>
  <c r="J49" i="14"/>
  <c r="J39" i="14"/>
  <c r="J93" i="14"/>
  <c r="J111" i="14"/>
  <c r="J118" i="14"/>
  <c r="J86" i="14"/>
  <c r="J76" i="14"/>
  <c r="J107" i="14"/>
  <c r="J66" i="14"/>
  <c r="J20" i="14"/>
  <c r="J119" i="14"/>
  <c r="J94" i="14"/>
  <c r="J67" i="14"/>
  <c r="J77" i="14"/>
  <c r="J40" i="14"/>
  <c r="N40" i="14"/>
  <c r="K40" i="14"/>
  <c r="N77" i="14"/>
  <c r="K77" i="14"/>
  <c r="N67" i="14"/>
  <c r="K67" i="14"/>
  <c r="N94" i="14"/>
  <c r="K94" i="14"/>
  <c r="N119" i="14"/>
  <c r="K119" i="14"/>
  <c r="N20" i="14"/>
  <c r="K20" i="14"/>
  <c r="N66" i="14"/>
  <c r="K66" i="14"/>
  <c r="N107" i="14"/>
  <c r="K107" i="14"/>
  <c r="N76" i="14"/>
  <c r="K76" i="14"/>
  <c r="N86" i="14"/>
  <c r="K86" i="14"/>
  <c r="N118" i="14"/>
  <c r="K118" i="14"/>
  <c r="N111" i="14"/>
  <c r="K111" i="14"/>
  <c r="N93" i="14"/>
  <c r="K93" i="14"/>
  <c r="N39" i="14"/>
  <c r="K39" i="14"/>
  <c r="N49" i="14"/>
  <c r="K49" i="14"/>
  <c r="N48" i="14"/>
  <c r="K48" i="14"/>
  <c r="N103" i="14"/>
  <c r="K103" i="14"/>
  <c r="N47" i="14"/>
  <c r="K47" i="14"/>
  <c r="N102" i="14"/>
  <c r="K102" i="14"/>
  <c r="N38" i="14"/>
  <c r="K38" i="14"/>
  <c r="N19" i="14"/>
  <c r="K19" i="14"/>
  <c r="N92" i="14"/>
  <c r="K92" i="14"/>
  <c r="N37" i="14"/>
  <c r="K37" i="14"/>
  <c r="N65" i="14"/>
  <c r="K65" i="14"/>
  <c r="N18" i="14"/>
  <c r="K18" i="14"/>
  <c r="N75" i="14"/>
  <c r="K75" i="14"/>
  <c r="N85" i="14"/>
  <c r="K85" i="14"/>
  <c r="N106" i="14"/>
  <c r="K106" i="14"/>
  <c r="N84" i="14"/>
  <c r="K84" i="14"/>
  <c r="N101" i="14"/>
  <c r="K101" i="14"/>
  <c r="N36" i="14"/>
  <c r="K36" i="14"/>
  <c r="N83" i="14"/>
  <c r="K83" i="14"/>
  <c r="N35" i="14"/>
  <c r="K35" i="14"/>
  <c r="N64" i="14"/>
  <c r="K64" i="14"/>
  <c r="N34" i="14"/>
  <c r="K34" i="14"/>
  <c r="N82" i="14"/>
  <c r="K82" i="14"/>
  <c r="N63" i="14"/>
  <c r="K63" i="14"/>
  <c r="N120" i="14"/>
  <c r="K120" i="14"/>
  <c r="N62" i="14"/>
  <c r="K62" i="14"/>
  <c r="N61" i="14"/>
  <c r="K61" i="14"/>
  <c r="N33" i="14"/>
  <c r="K33" i="14"/>
  <c r="N117" i="14"/>
  <c r="K117" i="14"/>
  <c r="N100" i="14"/>
  <c r="K100" i="14"/>
  <c r="N9" i="14"/>
  <c r="K9" i="14"/>
  <c r="N99" i="14"/>
  <c r="K99" i="14"/>
  <c r="N31" i="14"/>
  <c r="K31" i="14"/>
  <c r="N30" i="14"/>
  <c r="K30" i="14"/>
  <c r="N60" i="14"/>
  <c r="K60" i="14"/>
  <c r="N46" i="14"/>
  <c r="K46" i="14"/>
  <c r="N59" i="14"/>
  <c r="K59" i="14"/>
  <c r="N58" i="14"/>
  <c r="K58" i="14"/>
  <c r="N105" i="14"/>
  <c r="K105" i="14"/>
  <c r="N29" i="14"/>
  <c r="K29" i="14"/>
  <c r="N28" i="14"/>
  <c r="K28" i="14"/>
  <c r="N57" i="14"/>
  <c r="K57" i="14"/>
  <c r="N8" i="14"/>
  <c r="K8" i="14"/>
  <c r="N104" i="14"/>
  <c r="K104" i="14"/>
  <c r="N17" i="14"/>
  <c r="K17" i="14"/>
  <c r="N98" i="14"/>
  <c r="K98" i="14"/>
  <c r="N81" i="14"/>
  <c r="K81" i="14"/>
  <c r="N26" i="14"/>
  <c r="K26" i="14"/>
  <c r="N80" i="14"/>
  <c r="K80" i="14"/>
  <c r="N25" i="14"/>
  <c r="K25" i="14"/>
  <c r="N56" i="14"/>
  <c r="K56" i="14"/>
  <c r="N74" i="14"/>
  <c r="K74" i="14"/>
  <c r="N110" i="14"/>
  <c r="K110" i="14"/>
  <c r="N91" i="14"/>
  <c r="K91" i="14"/>
  <c r="N16" i="14"/>
  <c r="K16" i="14"/>
  <c r="N79" i="14"/>
  <c r="K79" i="14"/>
  <c r="N109" i="14"/>
  <c r="K109" i="14"/>
  <c r="N45" i="14"/>
  <c r="K45" i="14"/>
  <c r="N116" i="14"/>
  <c r="K116" i="14"/>
  <c r="N15" i="14"/>
  <c r="K15" i="14"/>
  <c r="N14" i="14"/>
  <c r="K14" i="14"/>
  <c r="N115" i="14"/>
  <c r="K115" i="14"/>
  <c r="N13" i="14"/>
  <c r="K13" i="14"/>
  <c r="N12" i="14"/>
  <c r="K12" i="14"/>
  <c r="N54" i="14"/>
  <c r="K54" i="14"/>
  <c r="N24" i="14"/>
  <c r="K24" i="14"/>
  <c r="N53" i="14"/>
  <c r="K53" i="14"/>
  <c r="N90" i="14"/>
  <c r="K90" i="14"/>
  <c r="N44" i="14"/>
  <c r="K44" i="14"/>
  <c r="N23" i="14"/>
  <c r="K23" i="14"/>
  <c r="N52" i="14"/>
  <c r="K52" i="14"/>
  <c r="N114" i="14"/>
  <c r="K114" i="14"/>
  <c r="N73" i="14"/>
  <c r="K73" i="14"/>
  <c r="N51" i="14"/>
  <c r="K51" i="14"/>
  <c r="N72" i="14"/>
  <c r="K72" i="14"/>
  <c r="N11" i="14"/>
  <c r="K11" i="14"/>
  <c r="N7" i="14"/>
  <c r="K7" i="14"/>
  <c r="N89" i="14"/>
  <c r="K89" i="14"/>
  <c r="N88" i="14"/>
  <c r="K88" i="14"/>
  <c r="N6" i="14"/>
  <c r="K6" i="14"/>
  <c r="N10" i="14"/>
  <c r="K10" i="14"/>
  <c r="N108" i="14"/>
  <c r="K108" i="14"/>
  <c r="N71" i="14"/>
  <c r="K71" i="14"/>
  <c r="N78" i="14"/>
  <c r="K78" i="14"/>
  <c r="N97" i="14"/>
  <c r="K97" i="14"/>
  <c r="N43" i="14"/>
  <c r="K43" i="14"/>
  <c r="N50" i="14"/>
  <c r="L50" i="14"/>
  <c r="K50" i="14"/>
  <c r="N96" i="14"/>
  <c r="K96" i="14"/>
  <c r="N42" i="14"/>
  <c r="K42" i="14"/>
  <c r="N112" i="14"/>
  <c r="K112" i="14"/>
  <c r="N5" i="14"/>
  <c r="K5" i="14"/>
  <c r="N95" i="14"/>
  <c r="K95" i="14"/>
  <c r="N22" i="14"/>
  <c r="K22" i="14"/>
  <c r="N70" i="14"/>
  <c r="K70" i="14"/>
  <c r="N69" i="14"/>
  <c r="K69" i="14"/>
  <c r="N68" i="14"/>
  <c r="K68" i="14"/>
  <c r="N41" i="14"/>
  <c r="K41" i="14"/>
  <c r="N113" i="14"/>
  <c r="K113" i="14"/>
  <c r="Z119" i="14" l="1"/>
  <c r="AB119" i="14" s="1"/>
  <c r="Z2" i="14"/>
  <c r="AB2" i="14" s="1"/>
  <c r="Z3" i="14"/>
  <c r="AB3" i="14" s="1"/>
  <c r="Z27" i="14"/>
  <c r="AB27" i="14" s="1"/>
  <c r="Z55" i="14"/>
  <c r="AB55" i="14" s="1"/>
  <c r="Z4" i="14"/>
  <c r="AB4" i="14" s="1"/>
  <c r="Z32" i="14"/>
  <c r="AB32" i="14" s="1"/>
  <c r="Z87" i="14"/>
  <c r="AB87" i="14" s="1"/>
  <c r="Z21" i="14"/>
  <c r="AB21" i="14" s="1"/>
  <c r="Z22" i="14"/>
  <c r="AB22" i="14" s="1"/>
  <c r="Z12" i="14"/>
  <c r="AB12" i="14" s="1"/>
  <c r="Z70" i="14"/>
  <c r="AB70" i="14" s="1"/>
  <c r="Z58" i="14"/>
  <c r="AB58" i="14" s="1"/>
  <c r="Z25" i="14"/>
  <c r="AB25" i="14" s="1"/>
  <c r="Z66" i="14"/>
  <c r="AB66" i="14" s="1"/>
  <c r="Z92" i="14"/>
  <c r="AB92" i="14" s="1"/>
  <c r="Z29" i="14"/>
  <c r="AB29" i="14" s="1"/>
  <c r="Z7" i="14"/>
  <c r="AB7" i="14" s="1"/>
  <c r="Z117" i="14"/>
  <c r="AB117" i="14" s="1"/>
  <c r="Z34" i="14"/>
  <c r="AB34" i="14" s="1"/>
  <c r="Z39" i="14"/>
  <c r="AB39" i="14" s="1"/>
  <c r="Z9" i="14"/>
  <c r="AB9" i="14" s="1"/>
  <c r="Z65" i="14"/>
  <c r="AB65" i="14" s="1"/>
  <c r="Z48" i="14"/>
  <c r="AB48" i="14" s="1"/>
  <c r="Z8" i="14"/>
  <c r="AB8" i="14" s="1"/>
  <c r="Z81" i="14"/>
  <c r="AB81" i="14" s="1"/>
  <c r="Z91" i="14"/>
  <c r="AB91" i="14" s="1"/>
  <c r="Z45" i="14"/>
  <c r="AB45" i="14" s="1"/>
  <c r="Z14" i="14"/>
  <c r="AB14" i="14" s="1"/>
  <c r="Z90" i="14"/>
  <c r="AB90" i="14" s="1"/>
  <c r="Z73" i="14"/>
  <c r="AB73" i="14" s="1"/>
  <c r="Z10" i="14"/>
  <c r="AB10" i="14" s="1"/>
  <c r="Z97" i="14"/>
  <c r="AB97" i="14" s="1"/>
  <c r="Z42" i="14"/>
  <c r="AB42" i="14" s="1"/>
  <c r="Z68" i="14"/>
  <c r="AB68" i="14" s="1"/>
  <c r="Z46" i="14"/>
  <c r="AB46" i="14" s="1"/>
  <c r="Z106" i="14"/>
  <c r="AB106" i="14" s="1"/>
  <c r="Z76" i="14"/>
  <c r="AB76" i="14" s="1"/>
  <c r="Z40" i="14"/>
  <c r="AB40" i="14" s="1"/>
  <c r="Z71" i="14"/>
  <c r="AB71" i="14" s="1"/>
  <c r="Z23" i="14"/>
  <c r="AB23" i="14" s="1"/>
  <c r="Z79" i="14"/>
  <c r="Z28" i="14"/>
  <c r="AB28" i="14" s="1"/>
  <c r="Z120" i="14"/>
  <c r="AB120" i="14" s="1"/>
  <c r="Z85" i="14"/>
  <c r="AB85" i="14" s="1"/>
  <c r="Z111" i="14"/>
  <c r="AB111" i="14" s="1"/>
  <c r="Z41" i="14"/>
  <c r="AB41" i="14" s="1"/>
  <c r="Z36" i="14"/>
  <c r="AB36" i="14" s="1"/>
  <c r="Z113" i="14"/>
  <c r="AB113" i="14" s="1"/>
  <c r="Z99" i="14"/>
  <c r="AB99" i="14" s="1"/>
  <c r="Z83" i="14"/>
  <c r="AB83" i="14" s="1"/>
  <c r="Z38" i="14"/>
  <c r="AB38" i="14" s="1"/>
  <c r="Z67" i="14"/>
  <c r="AB67" i="14" s="1"/>
  <c r="Z47" i="14"/>
  <c r="AB47" i="14" s="1"/>
  <c r="Z18" i="14"/>
  <c r="AB18" i="14" s="1"/>
  <c r="Z101" i="14"/>
  <c r="AB101" i="14" s="1"/>
  <c r="Z63" i="14"/>
  <c r="AB63" i="14" s="1"/>
  <c r="Z61" i="14"/>
  <c r="AB61" i="14" s="1"/>
  <c r="Z30" i="14"/>
  <c r="AB30" i="14" s="1"/>
  <c r="Z57" i="14"/>
  <c r="AB57" i="14" s="1"/>
  <c r="Z109" i="14"/>
  <c r="AB109" i="14" s="1"/>
  <c r="Z13" i="14"/>
  <c r="AB13" i="14" s="1"/>
  <c r="Z11" i="14"/>
  <c r="AB11" i="14" s="1"/>
  <c r="Z78" i="14"/>
  <c r="AB78" i="14" s="1"/>
  <c r="Z95" i="14"/>
  <c r="AB95" i="14" s="1"/>
  <c r="Z5" i="14"/>
  <c r="AB5" i="14" s="1"/>
  <c r="Z72" i="14"/>
  <c r="AB72" i="14" s="1"/>
  <c r="Z80" i="14"/>
  <c r="AB80" i="14" s="1"/>
  <c r="Z20" i="14"/>
  <c r="AB20" i="14" s="1"/>
  <c r="Z93" i="14"/>
  <c r="AB93" i="14" s="1"/>
  <c r="Z19" i="14"/>
  <c r="AB19" i="14" s="1"/>
  <c r="Z17" i="14"/>
  <c r="AB17" i="14" s="1"/>
  <c r="Z74" i="14"/>
  <c r="AB74" i="14" s="1"/>
  <c r="Z116" i="14"/>
  <c r="AB116" i="14" s="1"/>
  <c r="Z24" i="14"/>
  <c r="AB24" i="14" s="1"/>
  <c r="Z52" i="14"/>
  <c r="AB52" i="14" s="1"/>
  <c r="Z88" i="14"/>
  <c r="AB88" i="14" s="1"/>
  <c r="Z50" i="14"/>
  <c r="AB50" i="14" s="1"/>
  <c r="Z31" i="14"/>
  <c r="AB31" i="14" s="1"/>
  <c r="Z69" i="14"/>
  <c r="AB69" i="14" s="1"/>
  <c r="Z35" i="14"/>
  <c r="AB35" i="14" s="1"/>
  <c r="Z59" i="14"/>
  <c r="AB59" i="14" s="1"/>
  <c r="Z62" i="14"/>
  <c r="AB62" i="14" s="1"/>
  <c r="Z54" i="14"/>
  <c r="AB54" i="14" s="1"/>
  <c r="Z56" i="14"/>
  <c r="AB56" i="14" s="1"/>
  <c r="Z104" i="14"/>
  <c r="AB104" i="14" s="1"/>
  <c r="Z37" i="14"/>
  <c r="AB37" i="14" s="1"/>
  <c r="Z96" i="14"/>
  <c r="AB96" i="14" s="1"/>
  <c r="Z6" i="14"/>
  <c r="AB6" i="14" s="1"/>
  <c r="Z114" i="14"/>
  <c r="AB114" i="14" s="1"/>
  <c r="Z53" i="14"/>
  <c r="AB53" i="14" s="1"/>
  <c r="Z15" i="14"/>
  <c r="AB15" i="14" s="1"/>
  <c r="Z110" i="14"/>
  <c r="Z98" i="14"/>
  <c r="AB98" i="14" s="1"/>
  <c r="Z105" i="14"/>
  <c r="AB105" i="14" s="1"/>
  <c r="Z43" i="14"/>
  <c r="AB43" i="14" s="1"/>
  <c r="Z89" i="14"/>
  <c r="AB89" i="14" s="1"/>
  <c r="Z107" i="14"/>
  <c r="AB107" i="14" s="1"/>
  <c r="Z112" i="14"/>
  <c r="AB112" i="14" s="1"/>
  <c r="Z108" i="14"/>
  <c r="AB108" i="14" s="1"/>
  <c r="Z51" i="14"/>
  <c r="AB51" i="14" s="1"/>
  <c r="Z44" i="14"/>
  <c r="AB44" i="14" s="1"/>
  <c r="Z115" i="14"/>
  <c r="AB115" i="14" s="1"/>
  <c r="Z16" i="14"/>
  <c r="AB16" i="14" s="1"/>
  <c r="Z26" i="14"/>
  <c r="AB26" i="14" s="1"/>
  <c r="Z49" i="14"/>
  <c r="AB49" i="14" s="1"/>
  <c r="Z60" i="14"/>
  <c r="AB60" i="14" s="1"/>
  <c r="Z33" i="14"/>
  <c r="AB33" i="14" s="1"/>
  <c r="Z64" i="14"/>
  <c r="AB64" i="14" s="1"/>
  <c r="Z103" i="14"/>
  <c r="AB103" i="14" s="1"/>
  <c r="Z86" i="14"/>
  <c r="AB86" i="14" s="1"/>
  <c r="Z77" i="14"/>
  <c r="AB77" i="14" s="1"/>
  <c r="Z100" i="14"/>
  <c r="AB100" i="14" s="1"/>
  <c r="Z82" i="14"/>
  <c r="AB82" i="14" s="1"/>
  <c r="Z84" i="14"/>
  <c r="AB84" i="14" s="1"/>
  <c r="Z75" i="14"/>
  <c r="AB75" i="14" s="1"/>
  <c r="Z102" i="14"/>
  <c r="AB102" i="14" s="1"/>
  <c r="Z118" i="14"/>
  <c r="AB118" i="14" s="1"/>
  <c r="Z94" i="14"/>
  <c r="AB94" i="14" s="1"/>
  <c r="Z121" i="14" l="1"/>
  <c r="AC119" i="14"/>
  <c r="AE119" i="14"/>
  <c r="AD119" i="14"/>
  <c r="AC2" i="14"/>
  <c r="AE2" i="14"/>
  <c r="AD2" i="14"/>
  <c r="AC3" i="14"/>
  <c r="AE3" i="14"/>
  <c r="AD3" i="14"/>
  <c r="AE27" i="14"/>
  <c r="AC27" i="14"/>
  <c r="AD27" i="14"/>
  <c r="AD55" i="14"/>
  <c r="AC55" i="14"/>
  <c r="AE55" i="14"/>
  <c r="AC4" i="14"/>
  <c r="AE4" i="14"/>
  <c r="AD4" i="14"/>
  <c r="AE32" i="14"/>
  <c r="AD32" i="14"/>
  <c r="AC32" i="14"/>
  <c r="AC87" i="14"/>
  <c r="AE87" i="14"/>
  <c r="AD87" i="14"/>
  <c r="AE21" i="14"/>
  <c r="AC21" i="14"/>
  <c r="AD21" i="14"/>
  <c r="AC22" i="14"/>
  <c r="AE22" i="14"/>
  <c r="AD22" i="14"/>
  <c r="AD12" i="14"/>
  <c r="AE12" i="14"/>
  <c r="AC12" i="14"/>
  <c r="AE70" i="14"/>
  <c r="AC70" i="14"/>
  <c r="AD70" i="14"/>
  <c r="AE58" i="14"/>
  <c r="AD58" i="14"/>
  <c r="AC58" i="14"/>
  <c r="AE25" i="14"/>
  <c r="AC25" i="14"/>
  <c r="AD25" i="14"/>
  <c r="AE66" i="14"/>
  <c r="AD66" i="14"/>
  <c r="AC66" i="14"/>
  <c r="AC92" i="14"/>
  <c r="AD92" i="14"/>
  <c r="AE92" i="14"/>
  <c r="AC29" i="14"/>
  <c r="AD29" i="14"/>
  <c r="AE29" i="14"/>
  <c r="AC7" i="14"/>
  <c r="AD7" i="14"/>
  <c r="AE7" i="14"/>
  <c r="AE117" i="14"/>
  <c r="AD117" i="14"/>
  <c r="AC117" i="14"/>
  <c r="AE34" i="14"/>
  <c r="AD34" i="14"/>
  <c r="AC34" i="14"/>
  <c r="AC39" i="14"/>
  <c r="AD39" i="14"/>
  <c r="AE39" i="14"/>
  <c r="AE9" i="14"/>
  <c r="AD9" i="14"/>
  <c r="AC9" i="14"/>
  <c r="AC65" i="14"/>
  <c r="AE65" i="14"/>
  <c r="AD65" i="14"/>
  <c r="AE48" i="14"/>
  <c r="AD48" i="14"/>
  <c r="AC48" i="14"/>
  <c r="AC8" i="14"/>
  <c r="AD8" i="14"/>
  <c r="AE8" i="14"/>
  <c r="AE81" i="14"/>
  <c r="AD81" i="14"/>
  <c r="AC81" i="14"/>
  <c r="AC91" i="14"/>
  <c r="AD91" i="14"/>
  <c r="AE91" i="14"/>
  <c r="AD45" i="14"/>
  <c r="AC45" i="14"/>
  <c r="AE45" i="14"/>
  <c r="AE14" i="14"/>
  <c r="AD14" i="14"/>
  <c r="AC14" i="14"/>
  <c r="AC90" i="14"/>
  <c r="AD90" i="14"/>
  <c r="AE90" i="14"/>
  <c r="AE73" i="14"/>
  <c r="AD73" i="14"/>
  <c r="AC73" i="14"/>
  <c r="AC10" i="14"/>
  <c r="AE10" i="14"/>
  <c r="AD10" i="14"/>
  <c r="AE97" i="14"/>
  <c r="AD97" i="14"/>
  <c r="AC97" i="14"/>
  <c r="AE42" i="14"/>
  <c r="AC42" i="14"/>
  <c r="AD42" i="14"/>
  <c r="AE68" i="14"/>
  <c r="AC68" i="14"/>
  <c r="AD68" i="14"/>
  <c r="AC46" i="14"/>
  <c r="AD46" i="14"/>
  <c r="AE46" i="14"/>
  <c r="AE106" i="14"/>
  <c r="AC106" i="14"/>
  <c r="AD106" i="14"/>
  <c r="AE76" i="14"/>
  <c r="AC76" i="14"/>
  <c r="AD76" i="14"/>
  <c r="AD40" i="14"/>
  <c r="AE40" i="14"/>
  <c r="AC40" i="14"/>
  <c r="AC71" i="14"/>
  <c r="AD71" i="14"/>
  <c r="AE71" i="14"/>
  <c r="AE23" i="14"/>
  <c r="AC23" i="14"/>
  <c r="AD23" i="14"/>
  <c r="AC28" i="14"/>
  <c r="AD28" i="14"/>
  <c r="AE28" i="14"/>
  <c r="AC120" i="14"/>
  <c r="AE120" i="14"/>
  <c r="AD120" i="14"/>
  <c r="AE85" i="14"/>
  <c r="AD85" i="14"/>
  <c r="AC85" i="14"/>
  <c r="AE111" i="14"/>
  <c r="AD111" i="14"/>
  <c r="AC111" i="14"/>
  <c r="AC41" i="14"/>
  <c r="AD41" i="14"/>
  <c r="AE41" i="14"/>
  <c r="AC36" i="14"/>
  <c r="AD36" i="14"/>
  <c r="AE36" i="14"/>
  <c r="AC113" i="14"/>
  <c r="AD113" i="14"/>
  <c r="AE113" i="14"/>
  <c r="AD99" i="14"/>
  <c r="AC99" i="14"/>
  <c r="AE99" i="14"/>
  <c r="AE83" i="14"/>
  <c r="AC83" i="14"/>
  <c r="AD83" i="14"/>
  <c r="AD38" i="14"/>
  <c r="AC38" i="14"/>
  <c r="AE38" i="14"/>
  <c r="AC67" i="14"/>
  <c r="AD67" i="14"/>
  <c r="AE67" i="14"/>
  <c r="AE47" i="14"/>
  <c r="AC47" i="14"/>
  <c r="AD47" i="14"/>
  <c r="AD18" i="14"/>
  <c r="AE18" i="14"/>
  <c r="AC18" i="14"/>
  <c r="AD101" i="14"/>
  <c r="AE101" i="14"/>
  <c r="AC101" i="14"/>
  <c r="AE63" i="14"/>
  <c r="AC63" i="14"/>
  <c r="AD63" i="14"/>
  <c r="AD61" i="14"/>
  <c r="AC61" i="14"/>
  <c r="AE61" i="14"/>
  <c r="AD30" i="14"/>
  <c r="AE30" i="14"/>
  <c r="AC30" i="14"/>
  <c r="AE57" i="14"/>
  <c r="AD57" i="14"/>
  <c r="AC57" i="14"/>
  <c r="AE109" i="14"/>
  <c r="AD109" i="14"/>
  <c r="AC109" i="14"/>
  <c r="AE13" i="14"/>
  <c r="AC13" i="14"/>
  <c r="AD13" i="14"/>
  <c r="AE11" i="14"/>
  <c r="AD11" i="14"/>
  <c r="AC11" i="14"/>
  <c r="AE78" i="14"/>
  <c r="AC78" i="14"/>
  <c r="AD78" i="14"/>
  <c r="AE95" i="14"/>
  <c r="AD95" i="14"/>
  <c r="AC95" i="14"/>
  <c r="AC72" i="14"/>
  <c r="AD72" i="14"/>
  <c r="AE72" i="14"/>
  <c r="AC80" i="14"/>
  <c r="AE80" i="14"/>
  <c r="AD80" i="14"/>
  <c r="AD20" i="14"/>
  <c r="AC20" i="14"/>
  <c r="AE20" i="14"/>
  <c r="AE93" i="14"/>
  <c r="AD93" i="14"/>
  <c r="AC93" i="14"/>
  <c r="AE19" i="14"/>
  <c r="AD19" i="14"/>
  <c r="AC19" i="14"/>
  <c r="AE17" i="14"/>
  <c r="AD17" i="14"/>
  <c r="AC17" i="14"/>
  <c r="AC74" i="14"/>
  <c r="AD74" i="14"/>
  <c r="AE74" i="14"/>
  <c r="AE116" i="14"/>
  <c r="AC116" i="14"/>
  <c r="AD116" i="14"/>
  <c r="AD24" i="14"/>
  <c r="AE24" i="14"/>
  <c r="AC24" i="14"/>
  <c r="AD52" i="14"/>
  <c r="AC52" i="14"/>
  <c r="AE52" i="14"/>
  <c r="AD88" i="14"/>
  <c r="AE88" i="14"/>
  <c r="AC88" i="14"/>
  <c r="AE50" i="14"/>
  <c r="AC50" i="14"/>
  <c r="AD50" i="14"/>
  <c r="AC31" i="14"/>
  <c r="AD31" i="14"/>
  <c r="AE31" i="14"/>
  <c r="AC69" i="14"/>
  <c r="AD69" i="14"/>
  <c r="AE69" i="14"/>
  <c r="AD35" i="14"/>
  <c r="AE35" i="14"/>
  <c r="AC35" i="14"/>
  <c r="AD59" i="14"/>
  <c r="AE59" i="14"/>
  <c r="AC59" i="14"/>
  <c r="AD62" i="14"/>
  <c r="AC62" i="14"/>
  <c r="AE62" i="14"/>
  <c r="AE54" i="14"/>
  <c r="AC54" i="14"/>
  <c r="AD54" i="14"/>
  <c r="AD56" i="14"/>
  <c r="AC56" i="14"/>
  <c r="AE56" i="14"/>
  <c r="AD104" i="14"/>
  <c r="AC104" i="14"/>
  <c r="AE104" i="14"/>
  <c r="AE37" i="14"/>
  <c r="AC37" i="14"/>
  <c r="AD37" i="14"/>
  <c r="AC96" i="14"/>
  <c r="AD96" i="14"/>
  <c r="AE96" i="14"/>
  <c r="AC6" i="14"/>
  <c r="AD6" i="14"/>
  <c r="AE6" i="14"/>
  <c r="AD114" i="14"/>
  <c r="AE114" i="14"/>
  <c r="AC114" i="14"/>
  <c r="AD53" i="14"/>
  <c r="AE53" i="14"/>
  <c r="AC53" i="14"/>
  <c r="AC15" i="14"/>
  <c r="AD15" i="14"/>
  <c r="AE15" i="14"/>
  <c r="AC98" i="14"/>
  <c r="AD98" i="14"/>
  <c r="AE98" i="14"/>
  <c r="AE105" i="14"/>
  <c r="AC105" i="14"/>
  <c r="AD105" i="14"/>
  <c r="AD43" i="14"/>
  <c r="AC43" i="14"/>
  <c r="AE43" i="14"/>
  <c r="AE89" i="14"/>
  <c r="AD89" i="14"/>
  <c r="AC89" i="14"/>
  <c r="AC107" i="14"/>
  <c r="AD107" i="14"/>
  <c r="AE107" i="14"/>
  <c r="AC112" i="14"/>
  <c r="AE112" i="14"/>
  <c r="AD112" i="14"/>
  <c r="AC108" i="14"/>
  <c r="AD108" i="14"/>
  <c r="AE108" i="14"/>
  <c r="AC51" i="14"/>
  <c r="AE51" i="14"/>
  <c r="AD51" i="14"/>
  <c r="AC44" i="14"/>
  <c r="AD44" i="14"/>
  <c r="AE44" i="14"/>
  <c r="AE115" i="14"/>
  <c r="AD115" i="14"/>
  <c r="AC115" i="14"/>
  <c r="AC16" i="14"/>
  <c r="AD16" i="14"/>
  <c r="AE16" i="14"/>
  <c r="AC26" i="14"/>
  <c r="AD26" i="14"/>
  <c r="AE26" i="14"/>
  <c r="AE49" i="14"/>
  <c r="AC49" i="14"/>
  <c r="AD49" i="14"/>
  <c r="AD60" i="14"/>
  <c r="AE60" i="14"/>
  <c r="AC60" i="14"/>
  <c r="AC33" i="14"/>
  <c r="AD33" i="14"/>
  <c r="AE33" i="14"/>
  <c r="AE64" i="14"/>
  <c r="AC64" i="14"/>
  <c r="AD64" i="14"/>
  <c r="AC103" i="14"/>
  <c r="AD103" i="14"/>
  <c r="AE103" i="14"/>
  <c r="AE86" i="14"/>
  <c r="AC86" i="14"/>
  <c r="AD86" i="14"/>
  <c r="AD77" i="14"/>
  <c r="AC77" i="14"/>
  <c r="AE77" i="14"/>
  <c r="AC100" i="14"/>
  <c r="AD100" i="14"/>
  <c r="AE100" i="14"/>
  <c r="AD82" i="14"/>
  <c r="AC82" i="14"/>
  <c r="AE82" i="14"/>
  <c r="AE84" i="14"/>
  <c r="AD84" i="14"/>
  <c r="AC84" i="14"/>
  <c r="AE75" i="14"/>
  <c r="AC75" i="14"/>
  <c r="AD75" i="14"/>
  <c r="AC102" i="14"/>
  <c r="AD102" i="14"/>
  <c r="AE102" i="14"/>
  <c r="AC118" i="14"/>
  <c r="AD118" i="14"/>
  <c r="AE118" i="14"/>
  <c r="AD94" i="14"/>
  <c r="AC94" i="14"/>
  <c r="AE94" i="14"/>
  <c r="AE5" i="14"/>
  <c r="AD5" i="14"/>
  <c r="AC5" i="14"/>
  <c r="AB79" i="14"/>
  <c r="AB110" i="14"/>
  <c r="AC79" i="14" l="1"/>
  <c r="AD79" i="14"/>
  <c r="AE79" i="14"/>
  <c r="AB121" i="14"/>
  <c r="AC110" i="14"/>
  <c r="AD110" i="14"/>
  <c r="AE110" i="14"/>
  <c r="AC121" i="14" l="1"/>
  <c r="B2" i="12" s="1"/>
  <c r="C2" i="12" s="1"/>
  <c r="AD121" i="14"/>
  <c r="B8" i="12" s="1"/>
  <c r="AE12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<sst xmlns="http://schemas.openxmlformats.org/spreadsheetml/2006/main" count="420" uniqueCount="254">
  <si>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</si>
  <si>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</si>
  <si>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</si>
  <si>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</si>
  <si>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</si>
  <si>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</si>
  <si>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</si>
  <si>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</si>
  <si>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</si>
  <si>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</si>
  <si>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</si>
  <si>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</si>
  <si>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</si>
  <si>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</si>
  <si>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</si>
  <si>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</si>
  <si>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</si>
  <si>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</si>
  <si>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</si>
  <si>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</si>
  <si>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</si>
  <si>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</si>
  <si>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</si>
  <si>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</si>
  <si>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</si>
  <si>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</si>
  <si>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</si>
  <si>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</si>
  <si>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</si>
  <si>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</si>
  <si>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</si>
  <si>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</si>
  <si>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</si>
  <si>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</si>
  <si>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</si>
  <si>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</si>
  <si>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</si>
  <si>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</si>
  <si>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</si>
  <si>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</si>
  <si>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</si>
  <si>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</si>
  <si>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</si>
  <si>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</si>
  <si>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</si>
  <si>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</si>
  <si>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</si>
  <si>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</si>
  <si>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</si>
  <si>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</si>
  <si>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</si>
  <si>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</si>
  <si>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</si>
  <si>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</si>
  <si>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</si>
  <si>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</si>
  <si>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</si>
  <si>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</si>
  <si>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</si>
  <si>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</si>
  <si>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</si>
  <si>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</si>
  <si>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</si>
  <si>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</si>
  <si>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</si>
  <si>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</si>
  <si>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</si>
  <si>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</si>
  <si>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</si>
  <si>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</si>
  <si>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</si>
  <si>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</si>
  <si>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</si>
  <si>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</si>
  <si>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</si>
  <si>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</si>
  <si>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</si>
  <si>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</si>
  <si>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</si>
  <si>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</si>
  <si>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</si>
  <si>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</si>
  <si>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</si>
  <si>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</si>
  <si>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</si>
  <si>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</si>
  <si>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</si>
  <si>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</si>
  <si>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</si>
  <si>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</si>
  <si>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</si>
  <si>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</si>
  <si>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</si>
  <si>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</si>
  <si>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</si>
  <si>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</si>
  <si>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</si>
  <si>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</si>
  <si>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</si>
  <si>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</si>
  <si>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</si>
  <si>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</si>
  <si>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</si>
  <si>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</si>
  <si>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</si>
  <si>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</si>
  <si>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</si>
  <si>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</si>
  <si>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</si>
  <si>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</si>
  <si>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</si>
  <si>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</si>
  <si>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</si>
  <si>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</si>
  <si>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</si>
  <si>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</si>
  <si>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</si>
  <si>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</si>
  <si>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</si>
  <si>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</si>
  <si>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</si>
  <si>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</si>
  <si>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</si>
  <si>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</si>
  <si>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</si>
  <si>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</si>
  <si>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</si>
  <si>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</si>
  <si>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</si>
  <si>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</si>
  <si>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</si>
  <si>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</si>
  <si>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</si>
  <si>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</si>
  <si>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</si>
  <si>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</si>
  <si>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</si>
  <si>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</si>
  <si>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</si>
  <si>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</si>
  <si>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</si>
  <si>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</si>
  <si>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</si>
  <si>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</si>
  <si>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</si>
  <si>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</si>
  <si>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</si>
  <si>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</si>
  <si>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</si>
  <si>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</si>
  <si>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</si>
  <si>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</si>
  <si>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</si>
  <si>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</si>
  <si>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</si>
  <si>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</si>
  <si>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</si>
  <si>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</si>
  <si>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</si>
  <si>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</si>
  <si>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</si>
  <si>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</si>
  <si>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</si>
  <si>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</si>
  <si>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</si>
  <si>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</si>
  <si>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</si>
  <si>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</si>
  <si>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</si>
  <si>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</si>
  <si>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</si>
  <si>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</si>
  <si>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</si>
  <si>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</si>
  <si>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</si>
  <si>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</si>
  <si>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</si>
  <si>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</si>
  <si>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</si>
  <si>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</si>
  <si>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</si>
  <si>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</si>
  <si>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</si>
  <si>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</si>
  <si>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</si>
  <si>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</si>
  <si>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</si>
  <si>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</si>
  <si>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</si>
  <si>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</si>
  <si>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</si>
  <si>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</si>
  <si>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</si>
  <si>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</si>
  <si>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</si>
  <si>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</si>
  <si>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</si>
  <si>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</si>
  <si>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</si>
  <si>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</si>
  <si>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</si>
  <si>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</si>
  <si>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</si>
  <si>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</si>
  <si>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</si>
  <si>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</si>
  <si>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</si>
  <si>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</si>
  <si>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</si>
  <si>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</si>
  <si>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</si>
  <si>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</si>
  <si>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</si>
  <si>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</si>
  <si>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</si>
  <si>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</si>
  <si>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</si>
  <si>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</si>
  <si>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</si>
  <si>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</si>
  <si>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</si>
  <si>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</si>
  <si>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</si>
  <si>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</si>
  <si>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</si>
  <si>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</si>
  <si>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</si>
  <si>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</si>
  <si>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</si>
  <si>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</si>
  <si>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</si>
  <si>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</si>
  <si>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</si>
  <si>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</si>
  <si>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</si>
  <si>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OLUWAJUEDALO FARHAN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</si>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</sst>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E979"/>
  <sheetViews>
    <sheetView tabSelected="1" zoomScaleNormal="100" workbookViewId="0">
      <pane xSplit="4" ySplit="1" topLeftCell="Z98" activePane="bottomRight" state="frozen"/>
      <selection activeCell="B16" sqref="B16"/>
      <selection pane="topRight" activeCell="B16" sqref="B16"/>
      <selection pane="bottomLeft" activeCell="B16" sqref="B16"/>
      <selection pane="bottomRight" activeCell="AA2" sqref="AA2"/>
    </sheetView>
  </sheetViews>
  <sheetFormatPr defaultColWidth="42.285156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2.85546875" style="21" bestFit="1" customWidth="1"/>
    <col min="11" max="11" width="14" style="21" bestFit="1" customWidth="1"/>
    <col min="12" max="12" width="14.85546875" style="21" bestFit="1" customWidth="1"/>
    <col min="13" max="13" width="18.42578125" style="21" bestFit="1" customWidth="1"/>
    <col min="14" max="14" width="14.140625" style="21" bestFit="1" customWidth="1"/>
    <col min="15" max="15" width="15" style="21" bestFit="1" customWidth="1"/>
    <col min="16" max="17" width="14" style="21" bestFit="1" customWidth="1"/>
    <col min="18" max="18" width="12.57031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6" width="17.5703125" style="21" bestFit="1" customWidth="1"/>
    <col min="27" max="27" width="15.140625" style="21" bestFit="1" customWidth="1"/>
    <col min="28" max="28" width="17.5703125" style="21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16384" width="42.28515625" style="21"/>
  </cols>
  <sheetData>
    <row r="1" spans="1:31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</row>
    <row r="2" spans="1:31" x14ac:dyDescent="0.25">
      <c r="A2" s="22" t="s">
        <v>143</v>
      </c>
      <c r="B2" s="22" t="s">
        <v>241</v>
      </c>
      <c r="C2" s="22" t="s">
        <v>253</v>
      </c>
      <c r="D2" s="23">
        <v>0.25</v>
      </c>
      <c r="E2" s="24">
        <v>0</v>
      </c>
      <c r="F2" s="24">
        <v>26000</v>
      </c>
      <c r="G2" s="24">
        <v>2000</v>
      </c>
      <c r="H2" s="24">
        <v>0</v>
      </c>
      <c r="I2" s="24">
        <v>0</v>
      </c>
      <c r="J2" s="24">
        <f>(1-$D2)*E2</f>
        <v>0</v>
      </c>
      <c r="K2" s="24">
        <f>(1-$D2)*F2</f>
        <v>19500</v>
      </c>
      <c r="L2" s="24">
        <f>G2</f>
        <v>2000</v>
      </c>
      <c r="M2" s="24">
        <f>(1-$D2)*H2</f>
        <v>0</v>
      </c>
      <c r="N2" s="24">
        <f>(1-$D2)*I2</f>
        <v>0</v>
      </c>
      <c r="O2" s="24">
        <v>0</v>
      </c>
      <c r="P2" s="24">
        <v>3050</v>
      </c>
      <c r="Q2" s="24">
        <v>0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f>SUM(J2:Y2)</f>
        <v>24550</v>
      </c>
      <c r="AA2" s="24">
        <v>0</v>
      </c>
      <c r="AB2" s="20">
        <f>Z2-AA2</f>
        <v>24550</v>
      </c>
      <c r="AC2" s="24" t="str">
        <f>IF(AND($T2=6000, ($T2+$W2-$AB2)&gt;=6000),T2,"")</f>
        <v/>
      </c>
      <c r="AD2" s="24" t="str">
        <f>IF(AND($T2=8000, ($T2+$W2-$AB2)&gt;=8000),T2,"")</f>
        <v/>
      </c>
      <c r="AE2" s="24" t="str">
        <f>IF(($T2+$W2-$AB2)&gt;=$T2+8000,W2,"")</f>
        <v/>
      </c>
    </row>
    <row r="3" spans="1:31" x14ac:dyDescent="0.25">
      <c r="A3" s="22" t="s">
        <v>242</v>
      </c>
      <c r="B3" s="22" t="s">
        <v>50</v>
      </c>
      <c r="C3" s="22" t="s">
        <v>253</v>
      </c>
      <c r="D3" s="23">
        <v>0</v>
      </c>
      <c r="E3" s="24">
        <v>0</v>
      </c>
      <c r="F3" s="24">
        <v>26000</v>
      </c>
      <c r="G3" s="24">
        <v>2000</v>
      </c>
      <c r="H3" s="24">
        <v>0</v>
      </c>
      <c r="I3" s="24">
        <v>0</v>
      </c>
      <c r="J3" s="24">
        <f>(1-$D3)*E3</f>
        <v>0</v>
      </c>
      <c r="K3" s="24">
        <f>(1-$D3)*F3</f>
        <v>26000</v>
      </c>
      <c r="L3" s="24">
        <f>G3</f>
        <v>2000</v>
      </c>
      <c r="M3" s="24">
        <f>(1-$D3)*H3</f>
        <v>0</v>
      </c>
      <c r="N3" s="24">
        <f>(1-$D3)*I3</f>
        <v>0</v>
      </c>
      <c r="O3" s="24">
        <v>0</v>
      </c>
      <c r="P3" s="24">
        <v>3050</v>
      </c>
      <c r="Q3" s="24">
        <v>0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f>SUM(J3:Y3)</f>
        <v>31050</v>
      </c>
      <c r="AA3" s="24">
        <v>0</v>
      </c>
      <c r="AB3" s="20">
        <f>Z3-AA3</f>
        <v>31050</v>
      </c>
      <c r="AC3" s="24" t="str">
        <f>IF(AND($T3=6000, ($T3+$W3-$AB3)&gt;=6000),T3,"")</f>
        <v/>
      </c>
      <c r="AD3" s="24" t="str">
        <f>IF(AND($T3=8000, ($T3+$W3-$AB3)&gt;=8000),T3,"")</f>
        <v/>
      </c>
      <c r="AE3" s="24" t="str">
        <f>IF(($T3+$W3-$AB3)&gt;=$T3+8000,W3,"")</f>
        <v/>
      </c>
    </row>
    <row r="4" spans="1:31" x14ac:dyDescent="0.25">
      <c r="A4" s="22" t="s">
        <v>121</v>
      </c>
      <c r="B4" s="22" t="s">
        <v>243</v>
      </c>
      <c r="C4" s="22" t="s">
        <v>253</v>
      </c>
      <c r="D4" s="23">
        <v>0.25</v>
      </c>
      <c r="E4" s="24">
        <v>0</v>
      </c>
      <c r="F4" s="24">
        <v>26000</v>
      </c>
      <c r="G4" s="24">
        <v>2000</v>
      </c>
      <c r="H4" s="24">
        <v>0</v>
      </c>
      <c r="I4" s="24">
        <v>0</v>
      </c>
      <c r="J4" s="24">
        <f>(1-$D4)*E4</f>
        <v>0</v>
      </c>
      <c r="K4" s="24">
        <f>(1-$D4)*F4</f>
        <v>19500</v>
      </c>
      <c r="L4" s="24">
        <f>G4</f>
        <v>2000</v>
      </c>
      <c r="M4" s="24">
        <f>(1-$D4)*H4</f>
        <v>0</v>
      </c>
      <c r="N4" s="24">
        <f>(1-$D4)*I4</f>
        <v>0</v>
      </c>
      <c r="O4" s="24">
        <v>0</v>
      </c>
      <c r="P4" s="24">
        <v>3050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>SUM(J4:Y4)</f>
        <v>24550</v>
      </c>
      <c r="AA4" s="24">
        <v>0</v>
      </c>
      <c r="AB4" s="20">
        <f>Z4-AA4</f>
        <v>24550</v>
      </c>
      <c r="AC4" s="24" t="str">
        <f>IF(AND($T4=6000, ($T4+$W4-$AB4)&gt;=6000),T4,"")</f>
        <v/>
      </c>
      <c r="AD4" s="24" t="str">
        <f>IF(AND($T4=8000, ($T4+$W4-$AB4)&gt;=8000),T4,"")</f>
        <v/>
      </c>
      <c r="AE4" s="24" t="str">
        <f>IF(($T4+$W4-$AB4)&gt;=$T4+8000,W4,"")</f>
        <v/>
      </c>
    </row>
    <row r="5" spans="1:31" x14ac:dyDescent="0.25">
      <c r="A5" s="22" t="s">
        <v>34</v>
      </c>
      <c r="B5" s="22" t="s">
        <v>197</v>
      </c>
      <c r="C5" s="22" t="s">
        <v>36</v>
      </c>
      <c r="D5" s="23">
        <v>0.25</v>
      </c>
      <c r="E5" s="24">
        <v>0</v>
      </c>
      <c r="F5" s="24">
        <v>33000</v>
      </c>
      <c r="G5" s="24">
        <v>5000</v>
      </c>
      <c r="H5" s="24">
        <v>2000</v>
      </c>
      <c r="I5" s="24">
        <v>6000</v>
      </c>
      <c r="J5" s="24">
        <f>(1-$D5)*E5</f>
        <v>0</v>
      </c>
      <c r="K5" s="24">
        <f>(1-$D5)*F5</f>
        <v>24750</v>
      </c>
      <c r="L5" s="24">
        <f>G5</f>
        <v>5000</v>
      </c>
      <c r="M5" s="24">
        <f>(1-$D5)*H5</f>
        <v>1500</v>
      </c>
      <c r="N5" s="24">
        <f>(1-$D5)*I5</f>
        <v>4500</v>
      </c>
      <c r="O5" s="24">
        <v>19560</v>
      </c>
      <c r="P5" s="24">
        <v>14330</v>
      </c>
      <c r="Q5" s="24">
        <v>0</v>
      </c>
      <c r="R5" s="24">
        <v>0</v>
      </c>
      <c r="S5" s="24">
        <v>0</v>
      </c>
      <c r="T5" s="24">
        <v>8000</v>
      </c>
      <c r="U5" s="24">
        <v>0</v>
      </c>
      <c r="V5" s="24">
        <v>0</v>
      </c>
      <c r="W5" s="24">
        <v>0</v>
      </c>
      <c r="X5" s="24">
        <v>0</v>
      </c>
      <c r="Y5" s="24">
        <v>750</v>
      </c>
      <c r="Z5" s="24">
        <f>SUM(J5:Y5)</f>
        <v>78390</v>
      </c>
      <c r="AA5" s="24">
        <v>0</v>
      </c>
      <c r="AB5" s="20">
        <f>Z5-AA5</f>
        <v>78390</v>
      </c>
      <c r="AC5" s="24" t="str">
        <f>IF(AND($T5=6000, ($T5+$W5-$AB5)&gt;=6000),T5,"")</f>
        <v/>
      </c>
      <c r="AD5" s="24" t="str">
        <f>IF(AND($T5=8000, ($T5+$W5-$AB5)&gt;=8000),T5,"")</f>
        <v/>
      </c>
      <c r="AE5" s="24" t="str">
        <f>IF(($T5+$W5-$AB5)&gt;=$T5+8000,W5,"")</f>
        <v/>
      </c>
    </row>
    <row r="6" spans="1:31" x14ac:dyDescent="0.25">
      <c r="A6" s="22" t="s">
        <v>53</v>
      </c>
      <c r="B6" s="22" t="s">
        <v>56</v>
      </c>
      <c r="C6" s="22" t="s">
        <v>36</v>
      </c>
      <c r="D6" s="23">
        <v>0.3</v>
      </c>
      <c r="E6" s="24">
        <v>0</v>
      </c>
      <c r="F6" s="24">
        <v>33000</v>
      </c>
      <c r="G6" s="24">
        <v>5000</v>
      </c>
      <c r="H6" s="24">
        <v>2000</v>
      </c>
      <c r="I6" s="24">
        <v>6000</v>
      </c>
      <c r="J6" s="24">
        <f>(1-$D6)*E6</f>
        <v>0</v>
      </c>
      <c r="K6" s="24">
        <f>(1-$D6)*F6</f>
        <v>23100</v>
      </c>
      <c r="L6" s="24">
        <f>G6</f>
        <v>5000</v>
      </c>
      <c r="M6" s="24">
        <f>(1-$D6)*H6</f>
        <v>1400</v>
      </c>
      <c r="N6" s="24">
        <f>(1-$D6)*I6</f>
        <v>4200</v>
      </c>
      <c r="O6" s="24">
        <v>19560</v>
      </c>
      <c r="P6" s="24">
        <v>14330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>SUM(J6:Y6)</f>
        <v>67590</v>
      </c>
      <c r="AA6" s="24">
        <v>0</v>
      </c>
      <c r="AB6" s="20">
        <f>Z6-AA6</f>
        <v>67590</v>
      </c>
      <c r="AC6" s="24" t="str">
        <f>IF(AND($T6=6000, ($T6+$W6-$AB6)&gt;=6000),T6,"")</f>
        <v/>
      </c>
      <c r="AD6" s="24" t="str">
        <f>IF(AND($T6=8000, ($T6+$W6-$AB6)&gt;=8000),T6,"")</f>
        <v/>
      </c>
      <c r="AE6" s="24" t="str">
        <f>IF(($T6+$W6-$AB6)&gt;=$T6+8000,W6,"")</f>
        <v/>
      </c>
    </row>
    <row r="7" spans="1:31" x14ac:dyDescent="0.25">
      <c r="A7" s="22" t="s">
        <v>57</v>
      </c>
      <c r="B7" s="22" t="s">
        <v>179</v>
      </c>
      <c r="C7" s="22" t="s">
        <v>36</v>
      </c>
      <c r="D7" s="23">
        <v>0</v>
      </c>
      <c r="E7" s="24">
        <v>0</v>
      </c>
      <c r="F7" s="24">
        <v>33000</v>
      </c>
      <c r="G7" s="24">
        <v>5000</v>
      </c>
      <c r="H7" s="24">
        <v>2000</v>
      </c>
      <c r="I7" s="24">
        <v>6000</v>
      </c>
      <c r="J7" s="24">
        <f>(1-$D7)*E7</f>
        <v>0</v>
      </c>
      <c r="K7" s="24">
        <f>(1-$D7)*F7</f>
        <v>33000</v>
      </c>
      <c r="L7" s="24">
        <f>G7</f>
        <v>5000</v>
      </c>
      <c r="M7" s="24">
        <f>(1-$D7)*H7</f>
        <v>2000</v>
      </c>
      <c r="N7" s="24">
        <f>(1-$D7)*I7</f>
        <v>6000</v>
      </c>
      <c r="O7" s="24">
        <v>19560</v>
      </c>
      <c r="P7" s="24">
        <v>14330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>SUM(J7:Y7)</f>
        <v>79890</v>
      </c>
      <c r="AA7" s="24">
        <v>0</v>
      </c>
      <c r="AB7" s="20">
        <f>Z7-AA7</f>
        <v>79890</v>
      </c>
      <c r="AC7" s="24" t="str">
        <f>IF(AND($T7=6000, ($T7+$W7-$AB7)&gt;=6000),T7,"")</f>
        <v/>
      </c>
      <c r="AD7" s="24" t="str">
        <f>IF(AND($T7=8000, ($T7+$W7-$AB7)&gt;=8000),T7,"")</f>
        <v/>
      </c>
      <c r="AE7" s="24" t="str">
        <f>IF(($T7+$W7-$AB7)&gt;=$T7+8000,W7,"")</f>
        <v/>
      </c>
    </row>
    <row r="8" spans="1:31" x14ac:dyDescent="0.25">
      <c r="A8" s="22" t="s">
        <v>195</v>
      </c>
      <c r="B8" s="22" t="s">
        <v>196</v>
      </c>
      <c r="C8" s="22" t="s">
        <v>36</v>
      </c>
      <c r="D8" s="23">
        <v>0</v>
      </c>
      <c r="E8" s="24">
        <v>0</v>
      </c>
      <c r="F8" s="24">
        <v>33000</v>
      </c>
      <c r="G8" s="24">
        <v>5000</v>
      </c>
      <c r="H8" s="24">
        <v>2000</v>
      </c>
      <c r="I8" s="24">
        <v>6000</v>
      </c>
      <c r="J8" s="24">
        <f>(1-$D8)*E8</f>
        <v>0</v>
      </c>
      <c r="K8" s="24">
        <f>(1-$D8)*F8</f>
        <v>33000</v>
      </c>
      <c r="L8" s="24">
        <f>G8</f>
        <v>5000</v>
      </c>
      <c r="M8" s="24">
        <f>(1-$D8)*H8</f>
        <v>2000</v>
      </c>
      <c r="N8" s="24">
        <f>(1-$D8)*I8</f>
        <v>6000</v>
      </c>
      <c r="O8" s="24">
        <v>19560</v>
      </c>
      <c r="P8" s="24">
        <v>14330</v>
      </c>
      <c r="Q8" s="24">
        <v>0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f>SUM(J8:Y8)</f>
        <v>79890</v>
      </c>
      <c r="AA8" s="24">
        <v>0</v>
      </c>
      <c r="AB8" s="20">
        <f>Z8-AA8</f>
        <v>79890</v>
      </c>
      <c r="AC8" s="24" t="str">
        <f>IF(AND($T8=6000, ($T8+$W8-$AB8)&gt;=6000),T8,"")</f>
        <v/>
      </c>
      <c r="AD8" s="24" t="str">
        <f>IF(AND($T8=8000, ($T8+$W8-$AB8)&gt;=8000),T8,"")</f>
        <v/>
      </c>
      <c r="AE8" s="24" t="str">
        <f>IF(($T8+$W8-$AB8)&gt;=$T8+8000,W8,"")</f>
        <v/>
      </c>
    </row>
    <row r="9" spans="1:31" x14ac:dyDescent="0.25">
      <c r="A9" s="22" t="s">
        <v>89</v>
      </c>
      <c r="B9" s="22" t="s">
        <v>92</v>
      </c>
      <c r="C9" s="22" t="s">
        <v>36</v>
      </c>
      <c r="D9" s="23">
        <v>0.3</v>
      </c>
      <c r="E9" s="24">
        <v>0</v>
      </c>
      <c r="F9" s="24">
        <v>33000</v>
      </c>
      <c r="G9" s="24">
        <v>5000</v>
      </c>
      <c r="H9" s="24">
        <v>2000</v>
      </c>
      <c r="I9" s="24">
        <v>6000</v>
      </c>
      <c r="J9" s="24">
        <f>(1-$D9)*E9</f>
        <v>0</v>
      </c>
      <c r="K9" s="24">
        <f>(1-$D9)*F9</f>
        <v>23100</v>
      </c>
      <c r="L9" s="24">
        <f>G9</f>
        <v>5000</v>
      </c>
      <c r="M9" s="24">
        <f>(1-$D9)*H9</f>
        <v>1400</v>
      </c>
      <c r="N9" s="24">
        <f>(1-$D9)*I9</f>
        <v>4200</v>
      </c>
      <c r="O9" s="24">
        <v>19560</v>
      </c>
      <c r="P9" s="24">
        <v>14330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>SUM(J9:Y9)</f>
        <v>67590</v>
      </c>
      <c r="AA9" s="24">
        <v>0</v>
      </c>
      <c r="AB9" s="20">
        <f>Z9-AA9</f>
        <v>67590</v>
      </c>
      <c r="AC9" s="24" t="str">
        <f>IF(AND($T9=6000, ($T9+$W9-$AB9)&gt;=6000),T9,"")</f>
        <v/>
      </c>
      <c r="AD9" s="24" t="str">
        <f>IF(AND($T9=8000, ($T9+$W9-$AB9)&gt;=8000),T9,"")</f>
        <v/>
      </c>
      <c r="AE9" s="24" t="str">
        <f>IF(($T9+$W9-$AB9)&gt;=$T9+8000,W9,"")</f>
        <v/>
      </c>
    </row>
    <row r="10" spans="1:31" x14ac:dyDescent="0.25">
      <c r="A10" s="22" t="s">
        <v>50</v>
      </c>
      <c r="B10" s="22" t="s">
        <v>51</v>
      </c>
      <c r="C10" s="22" t="s">
        <v>67</v>
      </c>
      <c r="D10" s="23">
        <v>0.5</v>
      </c>
      <c r="E10" s="24">
        <v>0</v>
      </c>
      <c r="F10" s="24">
        <v>33000</v>
      </c>
      <c r="G10" s="24">
        <v>5000</v>
      </c>
      <c r="H10" s="24">
        <v>2000</v>
      </c>
      <c r="I10" s="24">
        <v>6000</v>
      </c>
      <c r="J10" s="24">
        <f>(1-$D10)*E10</f>
        <v>0</v>
      </c>
      <c r="K10" s="24">
        <f>(1-$D10)*F10</f>
        <v>16500</v>
      </c>
      <c r="L10" s="24">
        <f>G10</f>
        <v>5000</v>
      </c>
      <c r="M10" s="24">
        <f>(1-$D10)*H10</f>
        <v>1000</v>
      </c>
      <c r="N10" s="24">
        <f>(1-$D10)*I10</f>
        <v>3000</v>
      </c>
      <c r="O10" s="24">
        <v>22580</v>
      </c>
      <c r="P10" s="24">
        <v>14330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>SUM(J10:Y10)</f>
        <v>62410</v>
      </c>
      <c r="AA10" s="24">
        <v>0</v>
      </c>
      <c r="AB10" s="20">
        <f>Z10-AA10</f>
        <v>62410</v>
      </c>
      <c r="AC10" s="24" t="str">
        <f>IF(AND($T10=6000, ($T10+$W10-$AB10)&gt;=6000),T10,"")</f>
        <v/>
      </c>
      <c r="AD10" s="24" t="str">
        <f>IF(AND($T10=8000, ($T10+$W10-$AB10)&gt;=8000),T10,"")</f>
        <v/>
      </c>
      <c r="AE10" s="24" t="str">
        <f>IF(($T10+$W10-$AB10)&gt;=$T10+8000,W10,"")</f>
        <v/>
      </c>
    </row>
    <row r="11" spans="1:31" x14ac:dyDescent="0.25">
      <c r="A11" s="22" t="s">
        <v>57</v>
      </c>
      <c r="B11" s="22" t="s">
        <v>58</v>
      </c>
      <c r="C11" s="22" t="s">
        <v>67</v>
      </c>
      <c r="D11" s="23">
        <v>0.5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>(1-$D11)*E11</f>
        <v>0</v>
      </c>
      <c r="K11" s="24">
        <f>(1-$D11)*F11</f>
        <v>16500</v>
      </c>
      <c r="L11" s="24">
        <f>G11</f>
        <v>5000</v>
      </c>
      <c r="M11" s="24">
        <f>(1-$D11)*H11</f>
        <v>1000</v>
      </c>
      <c r="N11" s="24">
        <f>(1-$D11)*I11</f>
        <v>3000</v>
      </c>
      <c r="O11" s="24">
        <v>22580</v>
      </c>
      <c r="P11" s="24">
        <v>14330</v>
      </c>
      <c r="Q11" s="24">
        <v>0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f>SUM(J11:Y11)</f>
        <v>62410</v>
      </c>
      <c r="AA11" s="24">
        <v>0</v>
      </c>
      <c r="AB11" s="20">
        <f>Z11-AA11</f>
        <v>62410</v>
      </c>
      <c r="AC11" s="24" t="str">
        <f>IF(AND($T11=6000, ($T11+$W11-$AB11)&gt;=6000),T11,"")</f>
        <v/>
      </c>
      <c r="AD11" s="24" t="str">
        <f>IF(AND($T11=8000, ($T11+$W11-$AB11)&gt;=8000),T11,"")</f>
        <v/>
      </c>
      <c r="AE11" s="24" t="str">
        <f>IF(($T11+$W11-$AB11)&gt;=$T11+8000,W11,"")</f>
        <v/>
      </c>
    </row>
    <row r="12" spans="1:31" x14ac:dyDescent="0.25">
      <c r="A12" s="22" t="s">
        <v>65</v>
      </c>
      <c r="B12" s="22" t="s">
        <v>66</v>
      </c>
      <c r="C12" s="22" t="s">
        <v>67</v>
      </c>
      <c r="D12" s="23">
        <v>0.5</v>
      </c>
      <c r="E12" s="24">
        <v>0</v>
      </c>
      <c r="F12" s="24">
        <v>33000</v>
      </c>
      <c r="G12" s="24">
        <v>5000</v>
      </c>
      <c r="H12" s="24">
        <v>2000</v>
      </c>
      <c r="I12" s="24">
        <v>6000</v>
      </c>
      <c r="J12" s="24">
        <f>(1-$D12)*E12</f>
        <v>0</v>
      </c>
      <c r="K12" s="24">
        <f>(1-$D12)*F12</f>
        <v>16500</v>
      </c>
      <c r="L12" s="24">
        <f>G12</f>
        <v>5000</v>
      </c>
      <c r="M12" s="24">
        <f>(1-$D12)*H12</f>
        <v>1000</v>
      </c>
      <c r="N12" s="24">
        <f>(1-$D12)*I12</f>
        <v>3000</v>
      </c>
      <c r="O12" s="24">
        <v>22580</v>
      </c>
      <c r="P12" s="24">
        <v>14330</v>
      </c>
      <c r="Q12" s="24">
        <v>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-30</v>
      </c>
      <c r="Z12" s="24">
        <f>SUM(J12:Y12)</f>
        <v>70380</v>
      </c>
      <c r="AA12" s="24">
        <v>0</v>
      </c>
      <c r="AB12" s="20">
        <f>Z12-AA12</f>
        <v>70380</v>
      </c>
      <c r="AC12" s="24" t="str">
        <f>IF(AND($T12=6000, ($T12+$W12-$AB12)&gt;=6000),T12,"")</f>
        <v/>
      </c>
      <c r="AD12" s="24" t="str">
        <f>IF(AND($T12=8000, ($T12+$W12-$AB12)&gt;=8000),T12,"")</f>
        <v/>
      </c>
      <c r="AE12" s="24" t="str">
        <f>IF(($T12+$W12-$AB12)&gt;=$T12+8000,W12,"")</f>
        <v/>
      </c>
    </row>
    <row r="13" spans="1:31" x14ac:dyDescent="0.25">
      <c r="A13" s="22" t="s">
        <v>68</v>
      </c>
      <c r="B13" s="22" t="s">
        <v>69</v>
      </c>
      <c r="C13" s="22" t="s">
        <v>67</v>
      </c>
      <c r="D13" s="23">
        <v>0</v>
      </c>
      <c r="E13" s="24">
        <v>0</v>
      </c>
      <c r="F13" s="24">
        <v>33000</v>
      </c>
      <c r="G13" s="24">
        <v>5000</v>
      </c>
      <c r="H13" s="24">
        <v>2000</v>
      </c>
      <c r="I13" s="24">
        <v>6000</v>
      </c>
      <c r="J13" s="24">
        <f>(1-$D13)*E13</f>
        <v>0</v>
      </c>
      <c r="K13" s="24">
        <f>(1-$D13)*F13</f>
        <v>33000</v>
      </c>
      <c r="L13" s="24">
        <f>G13</f>
        <v>5000</v>
      </c>
      <c r="M13" s="24">
        <f>(1-$D13)*H13</f>
        <v>2000</v>
      </c>
      <c r="N13" s="24">
        <f>(1-$D13)*I13</f>
        <v>6000</v>
      </c>
      <c r="O13" s="24">
        <v>22580</v>
      </c>
      <c r="P13" s="24">
        <v>14330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-8970</v>
      </c>
      <c r="Z13" s="24">
        <f>SUM(J13:Y13)</f>
        <v>73940</v>
      </c>
      <c r="AA13" s="24">
        <v>0</v>
      </c>
      <c r="AB13" s="20">
        <f>Z13-AA13</f>
        <v>73940</v>
      </c>
      <c r="AC13" s="24" t="str">
        <f>IF(AND($T13=6000, ($T13+$W13-$AB13)&gt;=6000),T13,"")</f>
        <v/>
      </c>
      <c r="AD13" s="24" t="str">
        <f>IF(AND($T13=8000, ($T13+$W13-$AB13)&gt;=8000),T13,"")</f>
        <v/>
      </c>
      <c r="AE13" s="24" t="str">
        <f>IF(($T13+$W13-$AB13)&gt;=$T13+8000,W13,"")</f>
        <v/>
      </c>
    </row>
    <row r="14" spans="1:31" x14ac:dyDescent="0.25">
      <c r="A14" s="22" t="s">
        <v>74</v>
      </c>
      <c r="B14" s="22" t="s">
        <v>75</v>
      </c>
      <c r="C14" s="22" t="s">
        <v>67</v>
      </c>
      <c r="D14" s="23">
        <v>0.5</v>
      </c>
      <c r="E14" s="24">
        <v>0</v>
      </c>
      <c r="F14" s="24">
        <v>33000</v>
      </c>
      <c r="G14" s="24">
        <v>5000</v>
      </c>
      <c r="H14" s="24">
        <v>2000</v>
      </c>
      <c r="I14" s="24">
        <v>6000</v>
      </c>
      <c r="J14" s="24">
        <f>(1-$D14)*E14</f>
        <v>0</v>
      </c>
      <c r="K14" s="24">
        <f>(1-$D14)*F14</f>
        <v>16500</v>
      </c>
      <c r="L14" s="24">
        <f>G14</f>
        <v>5000</v>
      </c>
      <c r="M14" s="24">
        <f>(1-$D14)*H14</f>
        <v>1000</v>
      </c>
      <c r="N14" s="24">
        <f>(1-$D14)*I14</f>
        <v>3000</v>
      </c>
      <c r="O14" s="24">
        <v>22580</v>
      </c>
      <c r="P14" s="24">
        <v>14330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480</v>
      </c>
      <c r="Z14" s="24">
        <f>SUM(J14:Y14)</f>
        <v>62890</v>
      </c>
      <c r="AA14" s="24">
        <v>0</v>
      </c>
      <c r="AB14" s="20">
        <f>Z14-AA14</f>
        <v>62890</v>
      </c>
      <c r="AC14" s="24" t="str">
        <f>IF(AND($T14=6000, ($T14+$W14-$AB14)&gt;=6000),T14,"")</f>
        <v/>
      </c>
      <c r="AD14" s="24" t="str">
        <f>IF(AND($T14=8000, ($T14+$W14-$AB14)&gt;=8000),T14,"")</f>
        <v/>
      </c>
      <c r="AE14" s="24" t="str">
        <f>IF(($T14+$W14-$AB14)&gt;=$T14+8000,W14,"")</f>
        <v/>
      </c>
    </row>
    <row r="15" spans="1:31" x14ac:dyDescent="0.25">
      <c r="A15" s="22" t="s">
        <v>191</v>
      </c>
      <c r="B15" s="22" t="s">
        <v>199</v>
      </c>
      <c r="C15" s="22" t="s">
        <v>67</v>
      </c>
      <c r="D15" s="23">
        <v>0.25</v>
      </c>
      <c r="E15" s="24">
        <v>0</v>
      </c>
      <c r="F15" s="24">
        <v>33000</v>
      </c>
      <c r="G15" s="24">
        <v>5000</v>
      </c>
      <c r="H15" s="24">
        <v>2000</v>
      </c>
      <c r="I15" s="24">
        <v>6000</v>
      </c>
      <c r="J15" s="24">
        <f>(1-$D15)*E15</f>
        <v>0</v>
      </c>
      <c r="K15" s="24">
        <f>(1-$D15)*F15</f>
        <v>24750</v>
      </c>
      <c r="L15" s="24">
        <f>G15</f>
        <v>5000</v>
      </c>
      <c r="M15" s="24">
        <f>(1-$D15)*H15</f>
        <v>1500</v>
      </c>
      <c r="N15" s="24">
        <f>(1-$D15)*I15</f>
        <v>4500</v>
      </c>
      <c r="O15" s="24">
        <v>22580</v>
      </c>
      <c r="P15" s="24">
        <v>14330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f>SUM(J15:Y15)</f>
        <v>72660</v>
      </c>
      <c r="AA15" s="24">
        <v>0</v>
      </c>
      <c r="AB15" s="20">
        <f>Z15-AA15</f>
        <v>72660</v>
      </c>
      <c r="AC15" s="24" t="str">
        <f>IF(AND($T15=6000, ($T15+$W15-$AB15)&gt;=6000),T15,"")</f>
        <v/>
      </c>
      <c r="AD15" s="24" t="str">
        <f>IF(AND($T15=8000, ($T15+$W15-$AB15)&gt;=8000),T15,"")</f>
        <v/>
      </c>
      <c r="AE15" s="24" t="str">
        <f>IF(($T15+$W15-$AB15)&gt;=$T15+8000,W15,"")</f>
        <v/>
      </c>
    </row>
    <row r="16" spans="1:31" x14ac:dyDescent="0.25">
      <c r="A16" s="22" t="s">
        <v>55</v>
      </c>
      <c r="B16" s="22" t="s">
        <v>80</v>
      </c>
      <c r="C16" s="22" t="s">
        <v>67</v>
      </c>
      <c r="D16" s="23">
        <v>0.5</v>
      </c>
      <c r="E16" s="24">
        <v>0</v>
      </c>
      <c r="F16" s="24">
        <v>33000</v>
      </c>
      <c r="G16" s="24">
        <v>5000</v>
      </c>
      <c r="H16" s="24">
        <v>2000</v>
      </c>
      <c r="I16" s="24">
        <v>6000</v>
      </c>
      <c r="J16" s="24">
        <f>(1-$D16)*E16</f>
        <v>0</v>
      </c>
      <c r="K16" s="24">
        <f>(1-$D16)*F16</f>
        <v>16500</v>
      </c>
      <c r="L16" s="24">
        <f>G16</f>
        <v>5000</v>
      </c>
      <c r="M16" s="24">
        <f>(1-$D16)*H16</f>
        <v>1000</v>
      </c>
      <c r="N16" s="24">
        <f>(1-$D16)*I16</f>
        <v>3000</v>
      </c>
      <c r="O16" s="24">
        <v>22580</v>
      </c>
      <c r="P16" s="24">
        <v>14330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500</v>
      </c>
      <c r="Z16" s="24">
        <f>SUM(J16:Y16)</f>
        <v>62910</v>
      </c>
      <c r="AA16" s="24">
        <v>0</v>
      </c>
      <c r="AB16" s="20">
        <f>Z16-AA16</f>
        <v>62910</v>
      </c>
      <c r="AC16" s="24" t="str">
        <f>IF(AND($T16=6000, ($T16+$W16-$AB16)&gt;=6000),T16,"")</f>
        <v/>
      </c>
      <c r="AD16" s="24" t="str">
        <f>IF(AND($T16=8000, ($T16+$W16-$AB16)&gt;=8000),T16,"")</f>
        <v/>
      </c>
      <c r="AE16" s="24" t="str">
        <f>IF(($T16+$W16-$AB16)&gt;=$T16+8000,W16,"")</f>
        <v/>
      </c>
    </row>
    <row r="17" spans="1:31" x14ac:dyDescent="0.25">
      <c r="A17" s="22" t="s">
        <v>85</v>
      </c>
      <c r="B17" s="22" t="s">
        <v>86</v>
      </c>
      <c r="C17" s="22" t="s">
        <v>67</v>
      </c>
      <c r="D17" s="23">
        <v>0.5</v>
      </c>
      <c r="E17" s="24">
        <v>0</v>
      </c>
      <c r="F17" s="24">
        <v>33000</v>
      </c>
      <c r="G17" s="24">
        <v>5000</v>
      </c>
      <c r="H17" s="24">
        <v>2000</v>
      </c>
      <c r="I17" s="24">
        <v>6000</v>
      </c>
      <c r="J17" s="24">
        <f>(1-$D17)*E17</f>
        <v>0</v>
      </c>
      <c r="K17" s="24">
        <f>(1-$D17)*F17</f>
        <v>16500</v>
      </c>
      <c r="L17" s="24">
        <f>G17</f>
        <v>5000</v>
      </c>
      <c r="M17" s="24">
        <f>(1-$D17)*H17</f>
        <v>1000</v>
      </c>
      <c r="N17" s="24">
        <f>(1-$D17)*I17</f>
        <v>3000</v>
      </c>
      <c r="O17" s="24">
        <v>22580</v>
      </c>
      <c r="P17" s="24">
        <v>14330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>SUM(J17:Y17)</f>
        <v>62410</v>
      </c>
      <c r="AA17" s="24">
        <v>0</v>
      </c>
      <c r="AB17" s="20">
        <f>Z17-AA17</f>
        <v>62410</v>
      </c>
      <c r="AC17" s="24" t="str">
        <f>IF(AND($T17=6000, ($T17+$W17-$AB17)&gt;=6000),T17,"")</f>
        <v/>
      </c>
      <c r="AD17" s="24" t="str">
        <f>IF(AND($T17=8000, ($T17+$W17-$AB17)&gt;=8000),T17,"")</f>
        <v/>
      </c>
      <c r="AE17" s="24" t="str">
        <f>IF(($T17+$W17-$AB17)&gt;=$T17+8000,W17,"")</f>
        <v/>
      </c>
    </row>
    <row r="18" spans="1:31" x14ac:dyDescent="0.25">
      <c r="A18" s="22" t="s">
        <v>111</v>
      </c>
      <c r="B18" s="22" t="s">
        <v>112</v>
      </c>
      <c r="C18" s="22" t="s">
        <v>67</v>
      </c>
      <c r="D18" s="23">
        <v>0.3</v>
      </c>
      <c r="E18" s="24">
        <v>0</v>
      </c>
      <c r="F18" s="24">
        <v>33000</v>
      </c>
      <c r="G18" s="24">
        <v>5000</v>
      </c>
      <c r="H18" s="24">
        <v>2000</v>
      </c>
      <c r="I18" s="24">
        <v>6000</v>
      </c>
      <c r="J18" s="24">
        <f>(1-$D18)*E18</f>
        <v>0</v>
      </c>
      <c r="K18" s="24">
        <f>(1-$D18)*F18</f>
        <v>23100</v>
      </c>
      <c r="L18" s="24">
        <f>G18</f>
        <v>5000</v>
      </c>
      <c r="M18" s="24">
        <f>(1-$D18)*H18</f>
        <v>1400</v>
      </c>
      <c r="N18" s="24">
        <f>(1-$D18)*I18</f>
        <v>4200</v>
      </c>
      <c r="O18" s="24">
        <v>22580</v>
      </c>
      <c r="P18" s="24">
        <v>14330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>SUM(J18:Y18)</f>
        <v>70610</v>
      </c>
      <c r="AA18" s="24">
        <v>0</v>
      </c>
      <c r="AB18" s="20">
        <f>Z18-AA18</f>
        <v>70610</v>
      </c>
      <c r="AC18" s="24" t="str">
        <f>IF(AND($T18=6000, ($T18+$W18-$AB18)&gt;=6000),T18,"")</f>
        <v/>
      </c>
      <c r="AD18" s="24" t="str">
        <f>IF(AND($T18=8000, ($T18+$W18-$AB18)&gt;=8000),T18,"")</f>
        <v/>
      </c>
      <c r="AE18" s="24" t="str">
        <f>IF(($T18+$W18-$AB18)&gt;=$T18+8000,W18,"")</f>
        <v/>
      </c>
    </row>
    <row r="19" spans="1:31" x14ac:dyDescent="0.25">
      <c r="A19" s="22" t="s">
        <v>116</v>
      </c>
      <c r="B19" s="22" t="s">
        <v>117</v>
      </c>
      <c r="C19" s="22" t="s">
        <v>67</v>
      </c>
      <c r="D19" s="23">
        <v>0.5</v>
      </c>
      <c r="E19" s="24">
        <v>0</v>
      </c>
      <c r="F19" s="24">
        <v>33000</v>
      </c>
      <c r="G19" s="24">
        <v>5000</v>
      </c>
      <c r="H19" s="24">
        <v>2000</v>
      </c>
      <c r="I19" s="24">
        <v>6000</v>
      </c>
      <c r="J19" s="24">
        <f>(1-$D19)*E19</f>
        <v>0</v>
      </c>
      <c r="K19" s="24">
        <f>(1-$D19)*F19</f>
        <v>16500</v>
      </c>
      <c r="L19" s="24">
        <f>G19</f>
        <v>5000</v>
      </c>
      <c r="M19" s="24">
        <f>(1-$D19)*H19</f>
        <v>1000</v>
      </c>
      <c r="N19" s="24">
        <f>(1-$D19)*I19</f>
        <v>3000</v>
      </c>
      <c r="O19" s="24">
        <v>22580</v>
      </c>
      <c r="P19" s="24">
        <v>14330</v>
      </c>
      <c r="Q19" s="24">
        <v>0</v>
      </c>
      <c r="R19" s="24">
        <v>0</v>
      </c>
      <c r="S19" s="24">
        <v>0</v>
      </c>
      <c r="T19" s="24">
        <v>8000</v>
      </c>
      <c r="U19" s="24">
        <v>0</v>
      </c>
      <c r="V19" s="24">
        <v>0</v>
      </c>
      <c r="W19" s="24">
        <v>0</v>
      </c>
      <c r="X19" s="24">
        <v>0</v>
      </c>
      <c r="Y19" s="24">
        <v>-3145</v>
      </c>
      <c r="Z19" s="24">
        <f>SUM(J19:Y19)</f>
        <v>67265</v>
      </c>
      <c r="AA19" s="24">
        <v>0</v>
      </c>
      <c r="AB19" s="20">
        <f>Z19-AA19</f>
        <v>67265</v>
      </c>
      <c r="AC19" s="24" t="str">
        <f>IF(AND($T19=6000, ($T19+$W19-$AB19)&gt;=6000),T19,"")</f>
        <v/>
      </c>
      <c r="AD19" s="24" t="str">
        <f>IF(AND($T19=8000, ($T19+$W19-$AB19)&gt;=8000),T19,"")</f>
        <v/>
      </c>
      <c r="AE19" s="24" t="str">
        <f>IF(($T19+$W19-$AB19)&gt;=$T19+8000,W19,"")</f>
        <v/>
      </c>
    </row>
    <row r="20" spans="1:31" x14ac:dyDescent="0.25">
      <c r="A20" s="22" t="s">
        <v>130</v>
      </c>
      <c r="B20" s="22" t="s">
        <v>131</v>
      </c>
      <c r="C20" s="22" t="s">
        <v>67</v>
      </c>
      <c r="D20" s="23">
        <v>0.3</v>
      </c>
      <c r="E20" s="24">
        <v>0</v>
      </c>
      <c r="F20" s="24">
        <v>33000</v>
      </c>
      <c r="G20" s="24">
        <v>5000</v>
      </c>
      <c r="H20" s="24">
        <v>2000</v>
      </c>
      <c r="I20" s="24">
        <v>6000</v>
      </c>
      <c r="J20" s="24">
        <f>(1-$D20)*E20</f>
        <v>0</v>
      </c>
      <c r="K20" s="24">
        <f>(1-$D20)*F20</f>
        <v>23100</v>
      </c>
      <c r="L20" s="24">
        <f>G20</f>
        <v>5000</v>
      </c>
      <c r="M20" s="24">
        <f>(1-$D20)*H20</f>
        <v>1400</v>
      </c>
      <c r="N20" s="24">
        <f>(1-$D20)*I20</f>
        <v>4200</v>
      </c>
      <c r="O20" s="24">
        <v>22580</v>
      </c>
      <c r="P20" s="24">
        <v>14330</v>
      </c>
      <c r="Q20" s="24">
        <v>0</v>
      </c>
      <c r="R20" s="24">
        <v>0</v>
      </c>
      <c r="S20" s="24">
        <v>0</v>
      </c>
      <c r="T20" s="24">
        <v>8000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>SUM(J20:Y20)</f>
        <v>78610</v>
      </c>
      <c r="AA20" s="24">
        <v>0</v>
      </c>
      <c r="AB20" s="20">
        <f>Z20-AA20</f>
        <v>78610</v>
      </c>
      <c r="AC20" s="24" t="str">
        <f>IF(AND($T20=6000, ($T20+$W20-$AB20)&gt;=6000),T20,"")</f>
        <v/>
      </c>
      <c r="AD20" s="24" t="str">
        <f>IF(AND($T20=8000, ($T20+$W20-$AB20)&gt;=8000),T20,"")</f>
        <v/>
      </c>
      <c r="AE20" s="24" t="str">
        <f>IF(($T20+$W20-$AB20)&gt;=$T20+8000,W20,"")</f>
        <v/>
      </c>
    </row>
    <row r="21" spans="1:31" x14ac:dyDescent="0.25">
      <c r="A21" s="22" t="s">
        <v>236</v>
      </c>
      <c r="B21" s="22" t="s">
        <v>240</v>
      </c>
      <c r="C21" s="22" t="s">
        <v>44</v>
      </c>
      <c r="D21" s="23">
        <v>0.25</v>
      </c>
      <c r="E21" s="24">
        <v>0</v>
      </c>
      <c r="F21" s="24">
        <v>26000</v>
      </c>
      <c r="G21" s="24">
        <v>4000</v>
      </c>
      <c r="H21" s="24">
        <v>0</v>
      </c>
      <c r="I21" s="24">
        <v>0</v>
      </c>
      <c r="J21" s="24">
        <f>(1-$D21)*E21</f>
        <v>0</v>
      </c>
      <c r="K21" s="24">
        <f>(1-$D21)*F21</f>
        <v>19500</v>
      </c>
      <c r="L21" s="24">
        <f>G21</f>
        <v>4000</v>
      </c>
      <c r="M21" s="24">
        <f>(1-$D21)*H21</f>
        <v>0</v>
      </c>
      <c r="N21" s="24">
        <f>(1-$D21)*I21</f>
        <v>0</v>
      </c>
      <c r="O21" s="24">
        <v>13380</v>
      </c>
      <c r="P21" s="24">
        <v>7550</v>
      </c>
      <c r="Q21" s="24">
        <v>0</v>
      </c>
      <c r="R21" s="24">
        <v>0</v>
      </c>
      <c r="S21" s="24">
        <v>0</v>
      </c>
      <c r="T21" s="24">
        <v>6000</v>
      </c>
      <c r="U21" s="24">
        <v>0</v>
      </c>
      <c r="V21" s="24">
        <v>0</v>
      </c>
      <c r="W21" s="24">
        <v>0</v>
      </c>
      <c r="X21" s="24">
        <v>0</v>
      </c>
      <c r="Y21" s="24">
        <v>750</v>
      </c>
      <c r="Z21" s="24">
        <f>SUM(J21:Y21)</f>
        <v>51180</v>
      </c>
      <c r="AA21" s="24">
        <v>0</v>
      </c>
      <c r="AB21" s="20">
        <f>Z21-AA21</f>
        <v>51180</v>
      </c>
      <c r="AC21" s="24" t="str">
        <f>IF(AND($T21=6000, ($T21+$W21-$AB21)&gt;=6000),T21,"")</f>
        <v/>
      </c>
      <c r="AD21" s="24" t="str">
        <f>IF(AND($T21=8000, ($T21+$W21-$AB21)&gt;=8000),T21,"")</f>
        <v/>
      </c>
      <c r="AE21" s="24" t="str">
        <f>IF(($T21+$W21-$AB21)&gt;=$T21+8000,W21,"")</f>
        <v/>
      </c>
    </row>
    <row r="22" spans="1:31" x14ac:dyDescent="0.25">
      <c r="A22" s="22" t="s">
        <v>182</v>
      </c>
      <c r="B22" s="22" t="s">
        <v>209</v>
      </c>
      <c r="C22" s="22" t="s">
        <v>44</v>
      </c>
      <c r="D22" s="23">
        <v>0.25</v>
      </c>
      <c r="E22" s="24">
        <v>0</v>
      </c>
      <c r="F22" s="24">
        <v>26000</v>
      </c>
      <c r="G22" s="24">
        <v>4000</v>
      </c>
      <c r="H22" s="24">
        <v>0</v>
      </c>
      <c r="I22" s="24">
        <v>0</v>
      </c>
      <c r="J22" s="24">
        <f>(1-$D22)*E22</f>
        <v>0</v>
      </c>
      <c r="K22" s="24">
        <f>(1-$D22)*F22</f>
        <v>19500</v>
      </c>
      <c r="L22" s="24">
        <f>G22</f>
        <v>4000</v>
      </c>
      <c r="M22" s="24">
        <f>(1-$D22)*H22</f>
        <v>0</v>
      </c>
      <c r="N22" s="24">
        <f>(1-$D22)*I22</f>
        <v>0</v>
      </c>
      <c r="O22" s="24">
        <v>13380</v>
      </c>
      <c r="P22" s="24">
        <v>7550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>SUM(J22:Y22)</f>
        <v>44430</v>
      </c>
      <c r="AA22" s="24">
        <v>0</v>
      </c>
      <c r="AB22" s="20">
        <f>Z22-AA22</f>
        <v>44430</v>
      </c>
      <c r="AC22" s="24" t="str">
        <f>IF(AND($T22=6000, ($T22+$W22-$AB22)&gt;=6000),T22,"")</f>
        <v/>
      </c>
      <c r="AD22" s="24" t="str">
        <f>IF(AND($T22=8000, ($T22+$W22-$AB22)&gt;=8000),T22,"")</f>
        <v/>
      </c>
      <c r="AE22" s="24" t="str">
        <f>IF(($T22+$W22-$AB22)&gt;=$T22+8000,W22,"")</f>
        <v/>
      </c>
    </row>
    <row r="23" spans="1:31" x14ac:dyDescent="0.25">
      <c r="A23" s="22" t="s">
        <v>143</v>
      </c>
      <c r="B23" s="22" t="s">
        <v>144</v>
      </c>
      <c r="C23" s="22" t="s">
        <v>44</v>
      </c>
      <c r="D23" s="23">
        <v>0.25</v>
      </c>
      <c r="E23" s="24">
        <v>0</v>
      </c>
      <c r="F23" s="24">
        <v>26000</v>
      </c>
      <c r="G23" s="24">
        <v>4000</v>
      </c>
      <c r="H23" s="24">
        <v>0</v>
      </c>
      <c r="I23" s="24">
        <v>0</v>
      </c>
      <c r="J23" s="24">
        <f>(1-$D23)*E23</f>
        <v>0</v>
      </c>
      <c r="K23" s="24">
        <f>(1-$D23)*F23</f>
        <v>19500</v>
      </c>
      <c r="L23" s="24">
        <f>G23</f>
        <v>4000</v>
      </c>
      <c r="M23" s="24">
        <f>(1-$D23)*H23</f>
        <v>0</v>
      </c>
      <c r="N23" s="24">
        <f>(1-$D23)*I23</f>
        <v>0</v>
      </c>
      <c r="O23" s="24">
        <v>13380</v>
      </c>
      <c r="P23" s="24">
        <v>7550</v>
      </c>
      <c r="Q23" s="24">
        <v>0</v>
      </c>
      <c r="R23" s="24">
        <v>0</v>
      </c>
      <c r="S23" s="24">
        <v>0</v>
      </c>
      <c r="T23" s="24">
        <v>6000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>SUM(J23:Y23)</f>
        <v>50430</v>
      </c>
      <c r="AA23" s="24">
        <v>0</v>
      </c>
      <c r="AB23" s="20">
        <f>Z23-AA23</f>
        <v>50430</v>
      </c>
      <c r="AC23" s="24" t="str">
        <f>IF(AND($T23=6000, ($T23+$W23-$AB23)&gt;=6000),T23,"")</f>
        <v/>
      </c>
      <c r="AD23" s="24" t="str">
        <f>IF(AND($T23=8000, ($T23+$W23-$AB23)&gt;=8000),T23,"")</f>
        <v/>
      </c>
      <c r="AE23" s="24" t="str">
        <f>IF(($T23+$W23-$AB23)&gt;=$T23+8000,W23,"")</f>
        <v/>
      </c>
    </row>
    <row r="24" spans="1:31" x14ac:dyDescent="0.25">
      <c r="A24" s="22" t="s">
        <v>63</v>
      </c>
      <c r="B24" s="22" t="s">
        <v>54</v>
      </c>
      <c r="C24" s="22" t="s">
        <v>44</v>
      </c>
      <c r="D24" s="23">
        <v>0</v>
      </c>
      <c r="E24" s="24">
        <v>0</v>
      </c>
      <c r="F24" s="24">
        <v>26000</v>
      </c>
      <c r="G24" s="24">
        <v>4000</v>
      </c>
      <c r="H24" s="24">
        <v>0</v>
      </c>
      <c r="I24" s="24">
        <v>0</v>
      </c>
      <c r="J24" s="24">
        <f>(1-$D24)*E24</f>
        <v>0</v>
      </c>
      <c r="K24" s="24">
        <f>(1-$D24)*F24</f>
        <v>26000</v>
      </c>
      <c r="L24" s="24">
        <f>G24</f>
        <v>4000</v>
      </c>
      <c r="M24" s="24">
        <f>(1-$D24)*H24</f>
        <v>0</v>
      </c>
      <c r="N24" s="24">
        <f>(1-$D24)*I24</f>
        <v>0</v>
      </c>
      <c r="O24" s="24">
        <v>13380</v>
      </c>
      <c r="P24" s="24">
        <v>7550</v>
      </c>
      <c r="Q24" s="24">
        <v>0</v>
      </c>
      <c r="R24" s="24">
        <v>0</v>
      </c>
      <c r="S24" s="24">
        <v>0</v>
      </c>
      <c r="T24" s="24">
        <v>6000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>SUM(J24:Y24)</f>
        <v>56930</v>
      </c>
      <c r="AA24" s="24">
        <v>0</v>
      </c>
      <c r="AB24" s="20">
        <f>Z24-AA24</f>
        <v>56930</v>
      </c>
      <c r="AC24" s="24" t="str">
        <f>IF(AND($T24=6000, ($T24+$W24-$AB24)&gt;=6000),T24,"")</f>
        <v/>
      </c>
      <c r="AD24" s="24" t="str">
        <f>IF(AND($T24=8000, ($T24+$W24-$AB24)&gt;=8000),T24,"")</f>
        <v/>
      </c>
      <c r="AE24" s="24" t="str">
        <f>IF(($T24+$W24-$AB24)&gt;=$T24+8000,W24,"")</f>
        <v/>
      </c>
    </row>
    <row r="25" spans="1:31" x14ac:dyDescent="0.25">
      <c r="A25" s="22" t="s">
        <v>155</v>
      </c>
      <c r="B25" s="22" t="s">
        <v>156</v>
      </c>
      <c r="C25" s="22" t="s">
        <v>44</v>
      </c>
      <c r="D25" s="23">
        <v>0</v>
      </c>
      <c r="E25" s="24">
        <v>0</v>
      </c>
      <c r="F25" s="24">
        <v>26000</v>
      </c>
      <c r="G25" s="24">
        <v>4000</v>
      </c>
      <c r="H25" s="24">
        <v>0</v>
      </c>
      <c r="I25" s="24">
        <v>0</v>
      </c>
      <c r="J25" s="24">
        <f>(1-$D25)*E25</f>
        <v>0</v>
      </c>
      <c r="K25" s="24">
        <f>(1-$D25)*F25</f>
        <v>26000</v>
      </c>
      <c r="L25" s="24">
        <f>G25</f>
        <v>4000</v>
      </c>
      <c r="M25" s="24">
        <f>(1-$D25)*H25</f>
        <v>0</v>
      </c>
      <c r="N25" s="24">
        <f>(1-$D25)*I25</f>
        <v>0</v>
      </c>
      <c r="O25" s="24">
        <v>13380</v>
      </c>
      <c r="P25" s="24">
        <v>7550</v>
      </c>
      <c r="Q25" s="24">
        <v>0</v>
      </c>
      <c r="R25" s="24">
        <v>0</v>
      </c>
      <c r="S25" s="24">
        <v>0</v>
      </c>
      <c r="T25" s="24">
        <v>6000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>SUM(J25:Y25)</f>
        <v>56930</v>
      </c>
      <c r="AA25" s="24">
        <v>0</v>
      </c>
      <c r="AB25" s="20">
        <f>Z25-AA25</f>
        <v>56930</v>
      </c>
      <c r="AC25" s="24" t="str">
        <f>IF(AND($T25=6000, ($T25+$W25-$AB25)&gt;=6000),T25,"")</f>
        <v/>
      </c>
      <c r="AD25" s="24" t="str">
        <f>IF(AND($T25=8000, ($T25+$W25-$AB25)&gt;=8000),T25,"")</f>
        <v/>
      </c>
      <c r="AE25" s="24" t="str">
        <f>IF(($T25+$W25-$AB25)&gt;=$T25+8000,W25,"")</f>
        <v/>
      </c>
    </row>
    <row r="26" spans="1:31" x14ac:dyDescent="0.25">
      <c r="A26" s="22" t="s">
        <v>177</v>
      </c>
      <c r="B26" s="22" t="s">
        <v>178</v>
      </c>
      <c r="C26" s="22" t="s">
        <v>44</v>
      </c>
      <c r="D26" s="23">
        <v>0.25</v>
      </c>
      <c r="E26" s="24">
        <v>0</v>
      </c>
      <c r="F26" s="24">
        <v>26000</v>
      </c>
      <c r="G26" s="24">
        <v>4000</v>
      </c>
      <c r="H26" s="24">
        <v>0</v>
      </c>
      <c r="I26" s="24">
        <v>0</v>
      </c>
      <c r="J26" s="24">
        <f>(1-$D26)*E26</f>
        <v>0</v>
      </c>
      <c r="K26" s="24">
        <f>(1-$D26)*F26</f>
        <v>19500</v>
      </c>
      <c r="L26" s="24">
        <f>G26</f>
        <v>4000</v>
      </c>
      <c r="M26" s="24">
        <f>(1-$D26)*H26</f>
        <v>0</v>
      </c>
      <c r="N26" s="24">
        <f>(1-$D26)*I26</f>
        <v>0</v>
      </c>
      <c r="O26" s="24">
        <v>13380</v>
      </c>
      <c r="P26" s="24">
        <v>7550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>SUM(J26:Y26)</f>
        <v>44430</v>
      </c>
      <c r="AA26" s="24">
        <v>0</v>
      </c>
      <c r="AB26" s="20">
        <f>Z26-AA26</f>
        <v>44430</v>
      </c>
      <c r="AC26" s="24" t="str">
        <f>IF(AND($T26=6000, ($T26+$W26-$AB26)&gt;=6000),T26,"")</f>
        <v/>
      </c>
      <c r="AD26" s="24" t="str">
        <f>IF(AND($T26=8000, ($T26+$W26-$AB26)&gt;=8000),T26,"")</f>
        <v/>
      </c>
      <c r="AE26" s="24" t="str">
        <f>IF(($T26+$W26-$AB26)&gt;=$T26+8000,W26,"")</f>
        <v/>
      </c>
    </row>
    <row r="27" spans="1:31" x14ac:dyDescent="0.25">
      <c r="A27" s="22" t="s">
        <v>234</v>
      </c>
      <c r="B27" s="22" t="s">
        <v>235</v>
      </c>
      <c r="C27" s="22" t="s">
        <v>44</v>
      </c>
      <c r="D27" s="23">
        <v>0</v>
      </c>
      <c r="E27" s="24">
        <v>0</v>
      </c>
      <c r="F27" s="24">
        <v>26000</v>
      </c>
      <c r="G27" s="24">
        <v>4000</v>
      </c>
      <c r="H27" s="24">
        <v>0</v>
      </c>
      <c r="I27" s="24">
        <v>0</v>
      </c>
      <c r="J27" s="24">
        <f>(1-$D27)*E27</f>
        <v>0</v>
      </c>
      <c r="K27" s="24">
        <f>(1-$D27)*F27</f>
        <v>26000</v>
      </c>
      <c r="L27" s="24">
        <f>G27</f>
        <v>4000</v>
      </c>
      <c r="M27" s="24">
        <f>(1-$D27)*H27</f>
        <v>0</v>
      </c>
      <c r="N27" s="24">
        <f>(1-$D27)*I27</f>
        <v>0</v>
      </c>
      <c r="O27" s="24">
        <v>13380</v>
      </c>
      <c r="P27" s="24">
        <v>7550</v>
      </c>
      <c r="Q27" s="24">
        <v>0</v>
      </c>
      <c r="R27" s="24">
        <v>0</v>
      </c>
      <c r="S27" s="24">
        <v>0</v>
      </c>
      <c r="T27" s="24">
        <v>6000</v>
      </c>
      <c r="U27" s="24">
        <v>0</v>
      </c>
      <c r="V27" s="24">
        <v>0</v>
      </c>
      <c r="W27" s="24">
        <v>0</v>
      </c>
      <c r="X27" s="24">
        <v>0</v>
      </c>
      <c r="Y27" s="24">
        <v>1000</v>
      </c>
      <c r="Z27" s="24">
        <f>SUM(J27:Y27)</f>
        <v>57930</v>
      </c>
      <c r="AA27" s="24">
        <v>0</v>
      </c>
      <c r="AB27" s="20">
        <f>Z27-AA27</f>
        <v>57930</v>
      </c>
      <c r="AC27" s="24" t="str">
        <f>IF(AND($T27=6000, ($T27+$W27-$AB27)&gt;=6000),T27,"")</f>
        <v/>
      </c>
      <c r="AD27" s="24" t="str">
        <f>IF(AND($T27=8000, ($T27+$W27-$AB27)&gt;=8000),T27,"")</f>
        <v/>
      </c>
      <c r="AE27" s="24" t="str">
        <f>IF(($T27+$W27-$AB27)&gt;=$T27+8000,W27,"")</f>
        <v/>
      </c>
    </row>
    <row r="28" spans="1:31" x14ac:dyDescent="0.25">
      <c r="A28" s="22" t="s">
        <v>157</v>
      </c>
      <c r="B28" s="22" t="s">
        <v>73</v>
      </c>
      <c r="C28" s="22" t="s">
        <v>44</v>
      </c>
      <c r="D28" s="23">
        <v>0.5</v>
      </c>
      <c r="E28" s="24">
        <v>0</v>
      </c>
      <c r="F28" s="24">
        <v>26000</v>
      </c>
      <c r="G28" s="24">
        <v>4000</v>
      </c>
      <c r="H28" s="24">
        <v>0</v>
      </c>
      <c r="I28" s="24">
        <v>0</v>
      </c>
      <c r="J28" s="24">
        <f>(1-$D28)*E28</f>
        <v>0</v>
      </c>
      <c r="K28" s="24">
        <f>(1-$D28)*F28</f>
        <v>13000</v>
      </c>
      <c r="L28" s="24">
        <f>G28</f>
        <v>4000</v>
      </c>
      <c r="M28" s="24">
        <f>(1-$D28)*H28</f>
        <v>0</v>
      </c>
      <c r="N28" s="24">
        <f>(1-$D28)*I28</f>
        <v>0</v>
      </c>
      <c r="O28" s="24">
        <v>13380</v>
      </c>
      <c r="P28" s="24">
        <v>7550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8000</v>
      </c>
      <c r="Z28" s="24">
        <f>SUM(J28:Y28)</f>
        <v>45930</v>
      </c>
      <c r="AA28" s="24">
        <v>0</v>
      </c>
      <c r="AB28" s="20">
        <f>Z28-AA28</f>
        <v>45930</v>
      </c>
      <c r="AC28" s="24" t="str">
        <f>IF(AND($T28=6000, ($T28+$W28-$AB28)&gt;=6000),T28,"")</f>
        <v/>
      </c>
      <c r="AD28" s="24" t="str">
        <f>IF(AND($T28=8000, ($T28+$W28-$AB28)&gt;=8000),T28,"")</f>
        <v/>
      </c>
      <c r="AE28" s="24" t="str">
        <f>IF(($T28+$W28-$AB28)&gt;=$T28+8000,W28,"")</f>
        <v/>
      </c>
    </row>
    <row r="29" spans="1:31" x14ac:dyDescent="0.25">
      <c r="A29" s="22" t="s">
        <v>157</v>
      </c>
      <c r="B29" s="22" t="s">
        <v>158</v>
      </c>
      <c r="C29" s="22" t="s">
        <v>44</v>
      </c>
      <c r="D29" s="23">
        <v>0.5</v>
      </c>
      <c r="E29" s="24">
        <v>0</v>
      </c>
      <c r="F29" s="24">
        <v>26000</v>
      </c>
      <c r="G29" s="24">
        <v>4000</v>
      </c>
      <c r="H29" s="24">
        <v>0</v>
      </c>
      <c r="I29" s="24">
        <v>0</v>
      </c>
      <c r="J29" s="24">
        <f>(1-$D29)*E29</f>
        <v>0</v>
      </c>
      <c r="K29" s="24">
        <f>(1-$D29)*F29</f>
        <v>13000</v>
      </c>
      <c r="L29" s="24">
        <f>G29</f>
        <v>4000</v>
      </c>
      <c r="M29" s="24">
        <f>(1-$D29)*H29</f>
        <v>0</v>
      </c>
      <c r="N29" s="24">
        <f>(1-$D29)*I29</f>
        <v>0</v>
      </c>
      <c r="O29" s="24">
        <v>13380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8000</v>
      </c>
      <c r="Z29" s="24">
        <f>SUM(J29:Y29)</f>
        <v>45930</v>
      </c>
      <c r="AA29" s="24">
        <v>0</v>
      </c>
      <c r="AB29" s="20">
        <f>Z29-AA29</f>
        <v>45930</v>
      </c>
      <c r="AC29" s="24" t="str">
        <f>IF(AND($T29=6000, ($T29+$W29-$AB29)&gt;=6000),T29,"")</f>
        <v/>
      </c>
      <c r="AD29" s="24" t="str">
        <f>IF(AND($T29=8000, ($T29+$W29-$AB29)&gt;=8000),T29,"")</f>
        <v/>
      </c>
      <c r="AE29" s="24" t="str">
        <f>IF(($T29+$W29-$AB29)&gt;=$T29+8000,W29,"")</f>
        <v/>
      </c>
    </row>
    <row r="30" spans="1:31" x14ac:dyDescent="0.25">
      <c r="A30" s="22" t="s">
        <v>159</v>
      </c>
      <c r="B30" s="22" t="s">
        <v>160</v>
      </c>
      <c r="C30" s="22" t="s">
        <v>44</v>
      </c>
      <c r="D30" s="23">
        <v>0.25</v>
      </c>
      <c r="E30" s="24">
        <v>0</v>
      </c>
      <c r="F30" s="24">
        <v>26000</v>
      </c>
      <c r="G30" s="24">
        <v>4000</v>
      </c>
      <c r="H30" s="24">
        <v>0</v>
      </c>
      <c r="I30" s="24">
        <v>0</v>
      </c>
      <c r="J30" s="24">
        <f>(1-$D30)*E30</f>
        <v>0</v>
      </c>
      <c r="K30" s="24">
        <f>(1-$D30)*F30</f>
        <v>19500</v>
      </c>
      <c r="L30" s="24">
        <f>G30</f>
        <v>4000</v>
      </c>
      <c r="M30" s="24">
        <f>(1-$D30)*H30</f>
        <v>0</v>
      </c>
      <c r="N30" s="24">
        <f>(1-$D30)*I30</f>
        <v>0</v>
      </c>
      <c r="O30" s="24">
        <v>13380</v>
      </c>
      <c r="P30" s="24">
        <v>7550</v>
      </c>
      <c r="Q30" s="24">
        <v>0</v>
      </c>
      <c r="R30" s="24">
        <v>0</v>
      </c>
      <c r="S30" s="24">
        <v>0</v>
      </c>
      <c r="T30" s="24">
        <v>6000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>SUM(J30:Y30)</f>
        <v>50430</v>
      </c>
      <c r="AA30" s="24">
        <v>0</v>
      </c>
      <c r="AB30" s="20">
        <f>Z30-AA30</f>
        <v>50430</v>
      </c>
      <c r="AC30" s="24" t="str">
        <f>IF(AND($T30=6000, ($T30+$W30-$AB30)&gt;=6000),T30,"")</f>
        <v/>
      </c>
      <c r="AD30" s="24" t="str">
        <f>IF(AND($T30=8000, ($T30+$W30-$AB30)&gt;=8000),T30,"")</f>
        <v/>
      </c>
      <c r="AE30" s="24" t="str">
        <f>IF(($T30+$W30-$AB30)&gt;=$T30+8000,W30,"")</f>
        <v/>
      </c>
    </row>
    <row r="31" spans="1:31" x14ac:dyDescent="0.25">
      <c r="A31" s="22" t="s">
        <v>161</v>
      </c>
      <c r="B31" s="22" t="s">
        <v>163</v>
      </c>
      <c r="C31" s="22" t="s">
        <v>44</v>
      </c>
      <c r="D31" s="23">
        <v>0.25</v>
      </c>
      <c r="E31" s="24">
        <v>0</v>
      </c>
      <c r="F31" s="24">
        <v>26000</v>
      </c>
      <c r="G31" s="24">
        <v>4000</v>
      </c>
      <c r="H31" s="24">
        <v>0</v>
      </c>
      <c r="I31" s="24">
        <v>0</v>
      </c>
      <c r="J31" s="24">
        <f>(1-$D31)*E31</f>
        <v>0</v>
      </c>
      <c r="K31" s="24">
        <f>(1-$D31)*F31</f>
        <v>19500</v>
      </c>
      <c r="L31" s="24">
        <f>G31</f>
        <v>4000</v>
      </c>
      <c r="M31" s="24">
        <f>(1-$D31)*H31</f>
        <v>0</v>
      </c>
      <c r="N31" s="24">
        <f>(1-$D31)*I31</f>
        <v>0</v>
      </c>
      <c r="O31" s="24">
        <v>13380</v>
      </c>
      <c r="P31" s="24">
        <v>7550</v>
      </c>
      <c r="Q31" s="24">
        <v>0</v>
      </c>
      <c r="R31" s="24">
        <v>0</v>
      </c>
      <c r="S31" s="24">
        <v>0</v>
      </c>
      <c r="T31" s="24">
        <v>6000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>SUM(J31:Y31)</f>
        <v>50430</v>
      </c>
      <c r="AA31" s="24">
        <v>0</v>
      </c>
      <c r="AB31" s="20">
        <f>Z31-AA31</f>
        <v>50430</v>
      </c>
      <c r="AC31" s="24" t="str">
        <f>IF(AND($T31=6000, ($T31+$W31-$AB31)&gt;=6000),T31,"")</f>
        <v/>
      </c>
      <c r="AD31" s="24" t="str">
        <f>IF(AND($T31=8000, ($T31+$W31-$AB31)&gt;=8000),T31,"")</f>
        <v/>
      </c>
      <c r="AE31" s="24" t="str">
        <f>IF(($T31+$W31-$AB31)&gt;=$T31+8000,W31,"")</f>
        <v/>
      </c>
    </row>
    <row r="32" spans="1:31" x14ac:dyDescent="0.25">
      <c r="A32" s="22" t="s">
        <v>238</v>
      </c>
      <c r="B32" s="22" t="s">
        <v>239</v>
      </c>
      <c r="C32" s="22" t="s">
        <v>44</v>
      </c>
      <c r="D32" s="23">
        <v>0</v>
      </c>
      <c r="E32" s="24">
        <v>0</v>
      </c>
      <c r="F32" s="24">
        <v>26000</v>
      </c>
      <c r="G32" s="24">
        <v>4000</v>
      </c>
      <c r="H32" s="24">
        <v>0</v>
      </c>
      <c r="I32" s="24">
        <v>0</v>
      </c>
      <c r="J32" s="24">
        <f>(1-$D32)*E32</f>
        <v>0</v>
      </c>
      <c r="K32" s="24">
        <f>(1-$D32)*F32</f>
        <v>26000</v>
      </c>
      <c r="L32" s="24">
        <f>G32</f>
        <v>4000</v>
      </c>
      <c r="M32" s="24">
        <f>(1-$D32)*H32</f>
        <v>0</v>
      </c>
      <c r="N32" s="24">
        <f>(1-$D32)*I32</f>
        <v>0</v>
      </c>
      <c r="O32" s="24">
        <v>13380</v>
      </c>
      <c r="P32" s="24">
        <v>7550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14000</v>
      </c>
      <c r="Z32" s="24">
        <f>SUM(J32:Y32)</f>
        <v>64930</v>
      </c>
      <c r="AA32" s="24">
        <v>0</v>
      </c>
      <c r="AB32" s="20">
        <f>Z32-AA32</f>
        <v>64930</v>
      </c>
      <c r="AC32" s="24" t="str">
        <f>IF(AND($T32=6000, ($T32+$W32-$AB32)&gt;=6000),T32,"")</f>
        <v/>
      </c>
      <c r="AD32" s="24" t="str">
        <f>IF(AND($T32=8000, ($T32+$W32-$AB32)&gt;=8000),T32,"")</f>
        <v/>
      </c>
      <c r="AE32" s="24" t="str">
        <f>IF(($T32+$W32-$AB32)&gt;=$T32+8000,W32,"")</f>
        <v/>
      </c>
    </row>
    <row r="33" spans="1:31" x14ac:dyDescent="0.25">
      <c r="A33" s="22" t="s">
        <v>93</v>
      </c>
      <c r="B33" s="22" t="s">
        <v>94</v>
      </c>
      <c r="C33" s="22" t="s">
        <v>44</v>
      </c>
      <c r="D33" s="23">
        <v>0</v>
      </c>
      <c r="E33" s="24">
        <v>0</v>
      </c>
      <c r="F33" s="24">
        <v>26000</v>
      </c>
      <c r="G33" s="24">
        <v>4000</v>
      </c>
      <c r="H33" s="24">
        <v>0</v>
      </c>
      <c r="I33" s="24">
        <v>0</v>
      </c>
      <c r="J33" s="24">
        <f>(1-$D33)*E33</f>
        <v>0</v>
      </c>
      <c r="K33" s="24">
        <f>(1-$D33)*F33</f>
        <v>26000</v>
      </c>
      <c r="L33" s="24">
        <f>G33</f>
        <v>4000</v>
      </c>
      <c r="M33" s="24">
        <f>(1-$D33)*H33</f>
        <v>0</v>
      </c>
      <c r="N33" s="24">
        <f>(1-$D33)*I33</f>
        <v>0</v>
      </c>
      <c r="O33" s="24">
        <v>13380</v>
      </c>
      <c r="P33" s="24">
        <v>7550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7000</v>
      </c>
      <c r="Z33" s="24">
        <f>SUM(J33:Y33)</f>
        <v>57930</v>
      </c>
      <c r="AA33" s="24">
        <v>0</v>
      </c>
      <c r="AB33" s="20">
        <f>Z33-AA33</f>
        <v>57930</v>
      </c>
      <c r="AC33" s="24" t="str">
        <f>IF(AND($T33=6000, ($T33+$W33-$AB33)&gt;=6000),T33,"")</f>
        <v/>
      </c>
      <c r="AD33" s="24" t="str">
        <f>IF(AND($T33=8000, ($T33+$W33-$AB33)&gt;=8000),T33,"")</f>
        <v/>
      </c>
      <c r="AE33" s="24" t="str">
        <f>IF(($T33+$W33-$AB33)&gt;=$T33+8000,W33,"")</f>
        <v/>
      </c>
    </row>
    <row r="34" spans="1:31" x14ac:dyDescent="0.25">
      <c r="A34" s="22" t="s">
        <v>100</v>
      </c>
      <c r="B34" s="22" t="s">
        <v>101</v>
      </c>
      <c r="C34" s="22" t="s">
        <v>44</v>
      </c>
      <c r="D34" s="23">
        <v>0</v>
      </c>
      <c r="E34" s="24">
        <v>0</v>
      </c>
      <c r="F34" s="24">
        <v>26000</v>
      </c>
      <c r="G34" s="24">
        <v>4000</v>
      </c>
      <c r="H34" s="24">
        <v>0</v>
      </c>
      <c r="I34" s="24">
        <v>0</v>
      </c>
      <c r="J34" s="24">
        <f>(1-$D34)*E34</f>
        <v>0</v>
      </c>
      <c r="K34" s="24">
        <f>(1-$D34)*F34</f>
        <v>26000</v>
      </c>
      <c r="L34" s="24">
        <f>G34</f>
        <v>4000</v>
      </c>
      <c r="M34" s="24">
        <f>(1-$D34)*H34</f>
        <v>0</v>
      </c>
      <c r="N34" s="24">
        <f>(1-$D34)*I34</f>
        <v>0</v>
      </c>
      <c r="O34" s="24">
        <v>13380</v>
      </c>
      <c r="P34" s="24">
        <v>7550</v>
      </c>
      <c r="Q34" s="24">
        <v>0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-3030</v>
      </c>
      <c r="Z34" s="24">
        <f>SUM(J34:Y34)</f>
        <v>47900</v>
      </c>
      <c r="AA34" s="24">
        <v>0</v>
      </c>
      <c r="AB34" s="20">
        <f>Z34-AA34</f>
        <v>47900</v>
      </c>
      <c r="AC34" s="24" t="str">
        <f>IF(AND($T34=6000, ($T34+$W34-$AB34)&gt;=6000),T34,"")</f>
        <v/>
      </c>
      <c r="AD34" s="24" t="str">
        <f>IF(AND($T34=8000, ($T34+$W34-$AB34)&gt;=8000),T34,"")</f>
        <v/>
      </c>
      <c r="AE34" s="24" t="str">
        <f>IF(($T34+$W34-$AB34)&gt;=$T34+8000,W34,"")</f>
        <v/>
      </c>
    </row>
    <row r="35" spans="1:31" x14ac:dyDescent="0.25">
      <c r="A35" s="22" t="s">
        <v>146</v>
      </c>
      <c r="B35" s="22" t="s">
        <v>147</v>
      </c>
      <c r="C35" s="22" t="s">
        <v>44</v>
      </c>
      <c r="D35" s="23">
        <v>0</v>
      </c>
      <c r="E35" s="24">
        <v>0</v>
      </c>
      <c r="F35" s="24">
        <v>26000</v>
      </c>
      <c r="G35" s="24">
        <v>4000</v>
      </c>
      <c r="H35" s="24">
        <v>0</v>
      </c>
      <c r="I35" s="24">
        <v>0</v>
      </c>
      <c r="J35" s="24">
        <f>(1-$D35)*E35</f>
        <v>0</v>
      </c>
      <c r="K35" s="24">
        <f>(1-$D35)*F35</f>
        <v>26000</v>
      </c>
      <c r="L35" s="24">
        <f>G35</f>
        <v>4000</v>
      </c>
      <c r="M35" s="24">
        <f>(1-$D35)*H35</f>
        <v>0</v>
      </c>
      <c r="N35" s="24">
        <f>(1-$D35)*I35</f>
        <v>0</v>
      </c>
      <c r="O35" s="24">
        <v>13380</v>
      </c>
      <c r="P35" s="24">
        <v>7550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f>SUM(J35:Y35)</f>
        <v>56930</v>
      </c>
      <c r="AA35" s="24">
        <v>0</v>
      </c>
      <c r="AB35" s="20">
        <f>Z35-AA35</f>
        <v>56930</v>
      </c>
      <c r="AC35" s="24" t="str">
        <f>IF(AND($T35=6000, ($T35+$W35-$AB35)&gt;=6000),T35,"")</f>
        <v/>
      </c>
      <c r="AD35" s="24" t="str">
        <f>IF(AND($T35=8000, ($T35+$W35-$AB35)&gt;=8000),T35,"")</f>
        <v/>
      </c>
      <c r="AE35" s="24" t="str">
        <f>IF(($T35+$W35-$AB35)&gt;=$T35+8000,W35,"")</f>
        <v/>
      </c>
    </row>
    <row r="36" spans="1:31" x14ac:dyDescent="0.25">
      <c r="A36" s="22" t="s">
        <v>102</v>
      </c>
      <c r="B36" s="22" t="s">
        <v>104</v>
      </c>
      <c r="C36" s="22" t="s">
        <v>44</v>
      </c>
      <c r="D36" s="23">
        <v>0.25</v>
      </c>
      <c r="E36" s="24">
        <v>0</v>
      </c>
      <c r="F36" s="24">
        <v>26000</v>
      </c>
      <c r="G36" s="24">
        <v>4000</v>
      </c>
      <c r="H36" s="24">
        <v>0</v>
      </c>
      <c r="I36" s="24">
        <v>0</v>
      </c>
      <c r="J36" s="24">
        <f>(1-$D36)*E36</f>
        <v>0</v>
      </c>
      <c r="K36" s="24">
        <f>(1-$D36)*F36</f>
        <v>19500</v>
      </c>
      <c r="L36" s="24">
        <f>G36</f>
        <v>4000</v>
      </c>
      <c r="M36" s="24">
        <f>(1-$D36)*H36</f>
        <v>0</v>
      </c>
      <c r="N36" s="24">
        <f>(1-$D36)*I36</f>
        <v>0</v>
      </c>
      <c r="O36" s="24">
        <v>13380</v>
      </c>
      <c r="P36" s="24">
        <v>7550</v>
      </c>
      <c r="Q36" s="24">
        <v>0</v>
      </c>
      <c r="R36" s="24">
        <v>0</v>
      </c>
      <c r="S36" s="24">
        <v>0</v>
      </c>
      <c r="T36" s="24">
        <v>6000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>SUM(J36:Y36)</f>
        <v>50430</v>
      </c>
      <c r="AA36" s="24">
        <v>0</v>
      </c>
      <c r="AB36" s="20">
        <f>Z36-AA36</f>
        <v>50430</v>
      </c>
      <c r="AC36" s="24" t="str">
        <f>IF(AND($T36=6000, ($T36+$W36-$AB36)&gt;=6000),T36,"")</f>
        <v/>
      </c>
      <c r="AD36" s="24" t="str">
        <f>IF(AND($T36=8000, ($T36+$W36-$AB36)&gt;=8000),T36,"")</f>
        <v/>
      </c>
      <c r="AE36" s="24" t="str">
        <f>IF(($T36+$W36-$AB36)&gt;=$T36+8000,W36,"")</f>
        <v/>
      </c>
    </row>
    <row r="37" spans="1:31" x14ac:dyDescent="0.25">
      <c r="A37" s="22" t="s">
        <v>113</v>
      </c>
      <c r="B37" s="22" t="s">
        <v>115</v>
      </c>
      <c r="C37" s="22" t="s">
        <v>44</v>
      </c>
      <c r="D37" s="23">
        <v>0.5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>(1-$D37)*E37</f>
        <v>0</v>
      </c>
      <c r="K37" s="24">
        <f>(1-$D37)*F37</f>
        <v>13000</v>
      </c>
      <c r="L37" s="24">
        <f>G37</f>
        <v>4000</v>
      </c>
      <c r="M37" s="24">
        <f>(1-$D37)*H37</f>
        <v>0</v>
      </c>
      <c r="N37" s="24">
        <f>(1-$D37)*I37</f>
        <v>0</v>
      </c>
      <c r="O37" s="24">
        <v>13380</v>
      </c>
      <c r="P37" s="24">
        <v>7550</v>
      </c>
      <c r="Q37" s="24">
        <v>0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8000</v>
      </c>
      <c r="Z37" s="24">
        <f>SUM(J37:Y37)</f>
        <v>45930</v>
      </c>
      <c r="AA37" s="24">
        <v>0</v>
      </c>
      <c r="AB37" s="20">
        <f>Z37-AA37</f>
        <v>45930</v>
      </c>
      <c r="AC37" s="24" t="str">
        <f>IF(AND($T37=6000, ($T37+$W37-$AB37)&gt;=6000),T37,"")</f>
        <v/>
      </c>
      <c r="AD37" s="24" t="str">
        <f>IF(AND($T37=8000, ($T37+$W37-$AB37)&gt;=8000),T37,"")</f>
        <v/>
      </c>
      <c r="AE37" s="24" t="str">
        <f>IF(($T37+$W37-$AB37)&gt;=$T37+8000,W37,"")</f>
        <v/>
      </c>
    </row>
    <row r="38" spans="1:31" x14ac:dyDescent="0.25">
      <c r="A38" s="22" t="s">
        <v>118</v>
      </c>
      <c r="B38" s="22" t="s">
        <v>119</v>
      </c>
      <c r="C38" s="22" t="s">
        <v>44</v>
      </c>
      <c r="D38" s="23">
        <v>0.25</v>
      </c>
      <c r="E38" s="24">
        <v>0</v>
      </c>
      <c r="F38" s="24">
        <v>26000</v>
      </c>
      <c r="G38" s="24">
        <v>4000</v>
      </c>
      <c r="H38" s="24">
        <v>0</v>
      </c>
      <c r="I38" s="24">
        <v>0</v>
      </c>
      <c r="J38" s="24">
        <f>(1-$D38)*E38</f>
        <v>0</v>
      </c>
      <c r="K38" s="24">
        <f>(1-$D38)*F38</f>
        <v>19500</v>
      </c>
      <c r="L38" s="24">
        <f>G38</f>
        <v>4000</v>
      </c>
      <c r="M38" s="24">
        <f>(1-$D38)*H38</f>
        <v>0</v>
      </c>
      <c r="N38" s="24">
        <f>(1-$D38)*I38</f>
        <v>0</v>
      </c>
      <c r="O38" s="24">
        <v>13380</v>
      </c>
      <c r="P38" s="24">
        <v>7550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>SUM(J38:Y38)</f>
        <v>44430</v>
      </c>
      <c r="AA38" s="24">
        <v>0</v>
      </c>
      <c r="AB38" s="20">
        <f>Z38-AA38</f>
        <v>44430</v>
      </c>
      <c r="AC38" s="24" t="str">
        <f>IF(AND($T38=6000, ($T38+$W38-$AB38)&gt;=6000),T38,"")</f>
        <v/>
      </c>
      <c r="AD38" s="24" t="str">
        <f>IF(AND($T38=8000, ($T38+$W38-$AB38)&gt;=8000),T38,"")</f>
        <v/>
      </c>
      <c r="AE38" s="24" t="str">
        <f>IF(($T38+$W38-$AB38)&gt;=$T38+8000,W38,"")</f>
        <v/>
      </c>
    </row>
    <row r="39" spans="1:31" x14ac:dyDescent="0.25">
      <c r="A39" s="22" t="s">
        <v>125</v>
      </c>
      <c r="B39" s="22" t="s">
        <v>128</v>
      </c>
      <c r="C39" s="22" t="s">
        <v>44</v>
      </c>
      <c r="D39" s="23">
        <v>0.25</v>
      </c>
      <c r="E39" s="24">
        <v>0</v>
      </c>
      <c r="F39" s="24">
        <v>26000</v>
      </c>
      <c r="G39" s="24">
        <v>4000</v>
      </c>
      <c r="H39" s="24">
        <v>0</v>
      </c>
      <c r="I39" s="24">
        <v>0</v>
      </c>
      <c r="J39" s="24">
        <f>(1-$D39)*E39</f>
        <v>0</v>
      </c>
      <c r="K39" s="24">
        <f>(1-$D39)*F39</f>
        <v>19500</v>
      </c>
      <c r="L39" s="24">
        <f>G39</f>
        <v>4000</v>
      </c>
      <c r="M39" s="24">
        <f>(1-$D39)*H39</f>
        <v>0</v>
      </c>
      <c r="N39" s="24">
        <f>(1-$D39)*I39</f>
        <v>0</v>
      </c>
      <c r="O39" s="24">
        <v>13380</v>
      </c>
      <c r="P39" s="24">
        <v>7550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>SUM(J39:Y39)</f>
        <v>44430</v>
      </c>
      <c r="AA39" s="24">
        <v>0</v>
      </c>
      <c r="AB39" s="20">
        <f>Z39-AA39</f>
        <v>44430</v>
      </c>
      <c r="AC39" s="24" t="str">
        <f>IF(AND($T39=6000, ($T39+$W39-$AB39)&gt;=6000),T39,"")</f>
        <v/>
      </c>
      <c r="AD39" s="24" t="str">
        <f>IF(AND($T39=8000, ($T39+$W39-$AB39)&gt;=8000),T39,"")</f>
        <v/>
      </c>
      <c r="AE39" s="24" t="str">
        <f>IF(($T39+$W39-$AB39)&gt;=$T39+8000,W39,"")</f>
        <v/>
      </c>
    </row>
    <row r="40" spans="1:31" x14ac:dyDescent="0.25">
      <c r="A40" s="22" t="s">
        <v>137</v>
      </c>
      <c r="B40" s="22" t="s">
        <v>138</v>
      </c>
      <c r="C40" s="22" t="s">
        <v>44</v>
      </c>
      <c r="D40" s="23">
        <v>0</v>
      </c>
      <c r="E40" s="24">
        <v>0</v>
      </c>
      <c r="F40" s="24">
        <v>26000</v>
      </c>
      <c r="G40" s="24">
        <v>4000</v>
      </c>
      <c r="H40" s="24">
        <v>0</v>
      </c>
      <c r="I40" s="24">
        <v>0</v>
      </c>
      <c r="J40" s="24">
        <f>(1-$D40)*E40</f>
        <v>0</v>
      </c>
      <c r="K40" s="24">
        <f>(1-$D40)*F40</f>
        <v>26000</v>
      </c>
      <c r="L40" s="24">
        <f>G40</f>
        <v>4000</v>
      </c>
      <c r="M40" s="24">
        <f>(1-$D40)*H40</f>
        <v>0</v>
      </c>
      <c r="N40" s="24">
        <f>(1-$D40)*I40</f>
        <v>0</v>
      </c>
      <c r="O40" s="24">
        <v>13380</v>
      </c>
      <c r="P40" s="24">
        <v>7550</v>
      </c>
      <c r="Q40" s="24">
        <v>0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f>SUM(J40:Y40)</f>
        <v>50930</v>
      </c>
      <c r="AA40" s="24">
        <v>0</v>
      </c>
      <c r="AB40" s="20">
        <f>Z40-AA40</f>
        <v>50930</v>
      </c>
      <c r="AC40" s="24" t="str">
        <f>IF(AND($T40=6000, ($T40+$W40-$AB40)&gt;=6000),T40,"")</f>
        <v/>
      </c>
      <c r="AD40" s="24" t="str">
        <f>IF(AND($T40=8000, ($T40+$W40-$AB40)&gt;=8000),T40,"")</f>
        <v/>
      </c>
      <c r="AE40" s="24" t="str">
        <f>IF(($T40+$W40-$AB40)&gt;=$T40+8000,W40,"")</f>
        <v/>
      </c>
    </row>
    <row r="41" spans="1:31" x14ac:dyDescent="0.25">
      <c r="A41" s="22" t="s">
        <v>28</v>
      </c>
      <c r="B41" s="22" t="s">
        <v>29</v>
      </c>
      <c r="C41" s="22" t="s">
        <v>47</v>
      </c>
      <c r="D41" s="23">
        <v>0.25</v>
      </c>
      <c r="E41" s="24">
        <v>0</v>
      </c>
      <c r="F41" s="24">
        <v>26000</v>
      </c>
      <c r="G41" s="24">
        <v>4000</v>
      </c>
      <c r="H41" s="24">
        <v>0</v>
      </c>
      <c r="I41" s="24">
        <v>0</v>
      </c>
      <c r="J41" s="24">
        <f>(1-$D41)*E41</f>
        <v>0</v>
      </c>
      <c r="K41" s="24">
        <f>(1-$D41)*F41</f>
        <v>19500</v>
      </c>
      <c r="L41" s="24">
        <f>G41</f>
        <v>4000</v>
      </c>
      <c r="M41" s="24">
        <f>(1-$D41)*H41</f>
        <v>0</v>
      </c>
      <c r="N41" s="24">
        <f>(1-$D41)*I41</f>
        <v>0</v>
      </c>
      <c r="O41" s="24">
        <v>24450</v>
      </c>
      <c r="P41" s="24">
        <v>10730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f>SUM(J41:Y41)</f>
        <v>58680</v>
      </c>
      <c r="AA41" s="24">
        <v>0</v>
      </c>
      <c r="AB41" s="20">
        <f>Z41-AA41</f>
        <v>58680</v>
      </c>
      <c r="AC41" s="24" t="str">
        <f>IF(AND($T41=6000, ($T41+$W41-$AB41)&gt;=6000),T41,"")</f>
        <v/>
      </c>
      <c r="AD41" s="24" t="str">
        <f>IF(AND($T41=8000, ($T41+$W41-$AB41)&gt;=8000),T41,"")</f>
        <v/>
      </c>
      <c r="AE41" s="24" t="str">
        <f>IF(($T41+$W41-$AB41)&gt;=$T41+8000,W41,"")</f>
        <v/>
      </c>
    </row>
    <row r="42" spans="1:31" x14ac:dyDescent="0.25">
      <c r="A42" s="22" t="s">
        <v>37</v>
      </c>
      <c r="B42" s="22" t="s">
        <v>38</v>
      </c>
      <c r="C42" s="22" t="s">
        <v>47</v>
      </c>
      <c r="D42" s="23">
        <v>0.5</v>
      </c>
      <c r="E42" s="24">
        <v>0</v>
      </c>
      <c r="F42" s="24">
        <v>26000</v>
      </c>
      <c r="G42" s="24">
        <v>4000</v>
      </c>
      <c r="H42" s="24">
        <v>0</v>
      </c>
      <c r="I42" s="24">
        <v>0</v>
      </c>
      <c r="J42" s="24">
        <f>(1-$D42)*E42</f>
        <v>0</v>
      </c>
      <c r="K42" s="24">
        <f>(1-$D42)*F42</f>
        <v>13000</v>
      </c>
      <c r="L42" s="24">
        <f>G42</f>
        <v>4000</v>
      </c>
      <c r="M42" s="24">
        <f>(1-$D42)*H42</f>
        <v>0</v>
      </c>
      <c r="N42" s="24">
        <f>(1-$D42)*I42</f>
        <v>0</v>
      </c>
      <c r="O42" s="24">
        <v>24450</v>
      </c>
      <c r="P42" s="24">
        <v>10730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f>SUM(J42:Y42)</f>
        <v>52180</v>
      </c>
      <c r="AA42" s="24">
        <v>0</v>
      </c>
      <c r="AB42" s="20">
        <f>Z42-AA42</f>
        <v>52180</v>
      </c>
      <c r="AC42" s="24" t="str">
        <f>IF(AND($T42=6000, ($T42+$W42-$AB42)&gt;=6000),T42,"")</f>
        <v/>
      </c>
      <c r="AD42" s="24" t="str">
        <f>IF(AND($T42=8000, ($T42+$W42-$AB42)&gt;=8000),T42,"")</f>
        <v/>
      </c>
      <c r="AE42" s="24" t="str">
        <f>IF(($T42+$W42-$AB42)&gt;=$T42+8000,W42,"")</f>
        <v/>
      </c>
    </row>
    <row r="43" spans="1:31" x14ac:dyDescent="0.25">
      <c r="A43" s="22" t="s">
        <v>40</v>
      </c>
      <c r="B43" s="22" t="s">
        <v>41</v>
      </c>
      <c r="C43" s="22" t="s">
        <v>47</v>
      </c>
      <c r="D43" s="23">
        <v>0.25</v>
      </c>
      <c r="E43" s="24">
        <v>0</v>
      </c>
      <c r="F43" s="24">
        <v>26000</v>
      </c>
      <c r="G43" s="24">
        <v>4000</v>
      </c>
      <c r="H43" s="24">
        <v>0</v>
      </c>
      <c r="I43" s="24">
        <v>0</v>
      </c>
      <c r="J43" s="24">
        <f>(1-$D43)*E43</f>
        <v>0</v>
      </c>
      <c r="K43" s="24">
        <f>(1-$D43)*F43</f>
        <v>19500</v>
      </c>
      <c r="L43" s="24">
        <f>G43</f>
        <v>4000</v>
      </c>
      <c r="M43" s="24">
        <f>(1-$D43)*H43</f>
        <v>0</v>
      </c>
      <c r="N43" s="24">
        <f>(1-$D43)*I43</f>
        <v>0</v>
      </c>
      <c r="O43" s="24">
        <v>24450</v>
      </c>
      <c r="P43" s="24">
        <v>10730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f>SUM(J43:Y43)</f>
        <v>58680</v>
      </c>
      <c r="AA43" s="24">
        <v>0</v>
      </c>
      <c r="AB43" s="20">
        <f>Z43-AA43</f>
        <v>58680</v>
      </c>
      <c r="AC43" s="24" t="str">
        <f>IF(AND($T43=6000, ($T43+$W43-$AB43)&gt;=6000),T43,"")</f>
        <v/>
      </c>
      <c r="AD43" s="24" t="str">
        <f>IF(AND($T43=8000, ($T43+$W43-$AB43)&gt;=8000),T43,"")</f>
        <v/>
      </c>
      <c r="AE43" s="24" t="str">
        <f>IF(($T43+$W43-$AB43)&gt;=$T43+8000,W43,"")</f>
        <v/>
      </c>
    </row>
    <row r="44" spans="1:31" x14ac:dyDescent="0.25">
      <c r="A44" s="22" t="s">
        <v>60</v>
      </c>
      <c r="B44" s="22" t="s">
        <v>62</v>
      </c>
      <c r="C44" s="22" t="s">
        <v>47</v>
      </c>
      <c r="D44" s="23">
        <v>0.25</v>
      </c>
      <c r="E44" s="24">
        <v>0</v>
      </c>
      <c r="F44" s="24">
        <v>26000</v>
      </c>
      <c r="G44" s="24">
        <v>4000</v>
      </c>
      <c r="H44" s="24">
        <v>0</v>
      </c>
      <c r="I44" s="24">
        <v>0</v>
      </c>
      <c r="J44" s="24">
        <f>(1-$D44)*E44</f>
        <v>0</v>
      </c>
      <c r="K44" s="24">
        <f>(1-$D44)*F44</f>
        <v>19500</v>
      </c>
      <c r="L44" s="24">
        <f>G44</f>
        <v>4000</v>
      </c>
      <c r="M44" s="24">
        <f>(1-$D44)*H44</f>
        <v>0</v>
      </c>
      <c r="N44" s="24">
        <f>(1-$D44)*I44</f>
        <v>0</v>
      </c>
      <c r="O44" s="24">
        <v>24450</v>
      </c>
      <c r="P44" s="24">
        <v>10730</v>
      </c>
      <c r="Q44" s="24">
        <v>0</v>
      </c>
      <c r="R44" s="24">
        <v>0</v>
      </c>
      <c r="S44" s="24">
        <v>0</v>
      </c>
      <c r="T44" s="24">
        <v>6000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f>SUM(J44:Y44)</f>
        <v>64680</v>
      </c>
      <c r="AA44" s="24">
        <v>0</v>
      </c>
      <c r="AB44" s="20">
        <f>Z44-AA44</f>
        <v>64680</v>
      </c>
      <c r="AC44" s="24" t="str">
        <f>IF(AND($T44=6000, ($T44+$W44-$AB44)&gt;=6000),T44,"")</f>
        <v/>
      </c>
      <c r="AD44" s="24" t="str">
        <f>IF(AND($T44=8000, ($T44+$W44-$AB44)&gt;=8000),T44,"")</f>
        <v/>
      </c>
      <c r="AE44" s="24" t="str">
        <f>IF(($T44+$W44-$AB44)&gt;=$T44+8000,W44,"")</f>
        <v/>
      </c>
    </row>
    <row r="45" spans="1:31" x14ac:dyDescent="0.25">
      <c r="A45" s="22" t="s">
        <v>64</v>
      </c>
      <c r="B45" s="22" t="s">
        <v>76</v>
      </c>
      <c r="C45" s="22" t="s">
        <v>47</v>
      </c>
      <c r="D45" s="23">
        <v>0.25</v>
      </c>
      <c r="E45" s="24">
        <v>0</v>
      </c>
      <c r="F45" s="24">
        <v>26000</v>
      </c>
      <c r="G45" s="24">
        <v>4000</v>
      </c>
      <c r="H45" s="24">
        <v>0</v>
      </c>
      <c r="I45" s="24">
        <v>0</v>
      </c>
      <c r="J45" s="24">
        <f>(1-$D45)*E45</f>
        <v>0</v>
      </c>
      <c r="K45" s="24">
        <f>(1-$D45)*F45</f>
        <v>19500</v>
      </c>
      <c r="L45" s="24">
        <f>G45</f>
        <v>4000</v>
      </c>
      <c r="M45" s="24">
        <f>(1-$D45)*H45</f>
        <v>0</v>
      </c>
      <c r="N45" s="24">
        <f>(1-$D45)*I45</f>
        <v>0</v>
      </c>
      <c r="O45" s="24">
        <v>24450</v>
      </c>
      <c r="P45" s="24">
        <v>10730</v>
      </c>
      <c r="Q45" s="24">
        <v>0</v>
      </c>
      <c r="R45" s="24">
        <v>0</v>
      </c>
      <c r="S45" s="24">
        <v>0</v>
      </c>
      <c r="T45" s="24">
        <v>6000</v>
      </c>
      <c r="U45" s="24">
        <v>0</v>
      </c>
      <c r="V45" s="24">
        <v>0</v>
      </c>
      <c r="W45" s="24">
        <v>0</v>
      </c>
      <c r="X45" s="24">
        <v>0</v>
      </c>
      <c r="Y45" s="24">
        <v>18500</v>
      </c>
      <c r="Z45" s="24">
        <f>SUM(J45:Y45)</f>
        <v>83180</v>
      </c>
      <c r="AA45" s="24">
        <v>48000</v>
      </c>
      <c r="AB45" s="20">
        <f>Z45-AA45</f>
        <v>35180</v>
      </c>
      <c r="AC45" s="24" t="str">
        <f>IF(AND($T45=6000, ($T45+$W45-$AB45)&gt;=6000),T45,"")</f>
        <v/>
      </c>
      <c r="AD45" s="24" t="str">
        <f>IF(AND($T45=8000, ($T45+$W45-$AB45)&gt;=8000),T45,"")</f>
        <v/>
      </c>
      <c r="AE45" s="24" t="str">
        <f>IF(($T45+$W45-$AB45)&gt;=$T45+8000,W45,"")</f>
        <v/>
      </c>
    </row>
    <row r="46" spans="1:31" x14ac:dyDescent="0.25">
      <c r="A46" s="22" t="s">
        <v>88</v>
      </c>
      <c r="B46" s="22" t="s">
        <v>206</v>
      </c>
      <c r="C46" s="22" t="s">
        <v>47</v>
      </c>
      <c r="D46" s="23">
        <v>0.25</v>
      </c>
      <c r="E46" s="24">
        <v>0</v>
      </c>
      <c r="F46" s="24">
        <v>26000</v>
      </c>
      <c r="G46" s="24">
        <v>4000</v>
      </c>
      <c r="H46" s="24">
        <v>0</v>
      </c>
      <c r="I46" s="24">
        <v>0</v>
      </c>
      <c r="J46" s="24">
        <f>(1-$D46)*E46</f>
        <v>0</v>
      </c>
      <c r="K46" s="24">
        <f>(1-$D46)*F46</f>
        <v>19500</v>
      </c>
      <c r="L46" s="24">
        <f>G46</f>
        <v>4000</v>
      </c>
      <c r="M46" s="24">
        <f>(1-$D46)*H46</f>
        <v>0</v>
      </c>
      <c r="N46" s="24">
        <f>(1-$D46)*I46</f>
        <v>0</v>
      </c>
      <c r="O46" s="24">
        <v>24450</v>
      </c>
      <c r="P46" s="24">
        <v>10730</v>
      </c>
      <c r="Q46" s="24">
        <v>0</v>
      </c>
      <c r="R46" s="24">
        <v>0</v>
      </c>
      <c r="S46" s="24">
        <v>0</v>
      </c>
      <c r="T46" s="24">
        <v>6000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>SUM(J46:Y46)</f>
        <v>64680</v>
      </c>
      <c r="AA46" s="24">
        <v>0</v>
      </c>
      <c r="AB46" s="20">
        <f>Z46-AA46</f>
        <v>64680</v>
      </c>
      <c r="AC46" s="24" t="str">
        <f>IF(AND($T46=6000, ($T46+$W46-$AB46)&gt;=6000),T46,"")</f>
        <v/>
      </c>
      <c r="AD46" s="24" t="str">
        <f>IF(AND($T46=8000, ($T46+$W46-$AB46)&gt;=8000),T46,"")</f>
        <v/>
      </c>
      <c r="AE46" s="24" t="str">
        <f>IF(($T46+$W46-$AB46)&gt;=$T46+8000,W46,"")</f>
        <v/>
      </c>
    </row>
    <row r="47" spans="1:31" x14ac:dyDescent="0.25">
      <c r="A47" s="22" t="s">
        <v>198</v>
      </c>
      <c r="B47" s="22" t="s">
        <v>31</v>
      </c>
      <c r="C47" s="22" t="s">
        <v>47</v>
      </c>
      <c r="D47" s="23">
        <v>0.25</v>
      </c>
      <c r="E47" s="24">
        <v>0</v>
      </c>
      <c r="F47" s="24">
        <v>26000</v>
      </c>
      <c r="G47" s="24">
        <v>4000</v>
      </c>
      <c r="H47" s="24">
        <v>0</v>
      </c>
      <c r="I47" s="24">
        <v>0</v>
      </c>
      <c r="J47" s="24">
        <f>(1-$D47)*E47</f>
        <v>0</v>
      </c>
      <c r="K47" s="24">
        <f>(1-$D47)*F47</f>
        <v>19500</v>
      </c>
      <c r="L47" s="24">
        <f>G47</f>
        <v>4000</v>
      </c>
      <c r="M47" s="24">
        <f>(1-$D47)*H47</f>
        <v>0</v>
      </c>
      <c r="N47" s="24">
        <f>(1-$D47)*I47</f>
        <v>0</v>
      </c>
      <c r="O47" s="24">
        <v>24450</v>
      </c>
      <c r="P47" s="24">
        <v>10730</v>
      </c>
      <c r="Q47" s="24">
        <v>0</v>
      </c>
      <c r="R47" s="24">
        <v>0</v>
      </c>
      <c r="S47" s="24">
        <v>0</v>
      </c>
      <c r="T47" s="24">
        <v>6000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24">
        <f>SUM(J47:Y47)</f>
        <v>64680</v>
      </c>
      <c r="AA47" s="24">
        <v>0</v>
      </c>
      <c r="AB47" s="20">
        <f>Z47-AA47</f>
        <v>64680</v>
      </c>
      <c r="AC47" s="24" t="str">
        <f>IF(AND($T47=6000, ($T47+$W47-$AB47)&gt;=6000),T47,"")</f>
        <v/>
      </c>
      <c r="AD47" s="24" t="str">
        <f>IF(AND($T47=8000, ($T47+$W47-$AB47)&gt;=8000),T47,"")</f>
        <v/>
      </c>
      <c r="AE47" s="24" t="str">
        <f>IF(($T47+$W47-$AB47)&gt;=$T47+8000,W47,"")</f>
        <v/>
      </c>
    </row>
    <row r="48" spans="1:31" x14ac:dyDescent="0.25">
      <c r="A48" s="22" t="s">
        <v>121</v>
      </c>
      <c r="B48" s="22" t="s">
        <v>122</v>
      </c>
      <c r="C48" s="22" t="s">
        <v>47</v>
      </c>
      <c r="D48" s="23">
        <v>0.25</v>
      </c>
      <c r="E48" s="24">
        <v>0</v>
      </c>
      <c r="F48" s="24">
        <v>26000</v>
      </c>
      <c r="G48" s="24">
        <v>4000</v>
      </c>
      <c r="H48" s="24">
        <v>0</v>
      </c>
      <c r="I48" s="24">
        <v>0</v>
      </c>
      <c r="J48" s="24">
        <f>(1-$D48)*E48</f>
        <v>0</v>
      </c>
      <c r="K48" s="24">
        <f>(1-$D48)*F48</f>
        <v>19500</v>
      </c>
      <c r="L48" s="24">
        <f>G48</f>
        <v>4000</v>
      </c>
      <c r="M48" s="24">
        <f>(1-$D48)*H48</f>
        <v>0</v>
      </c>
      <c r="N48" s="24">
        <f>(1-$D48)*I48</f>
        <v>0</v>
      </c>
      <c r="O48" s="24">
        <v>24450</v>
      </c>
      <c r="P48" s="24">
        <v>10730</v>
      </c>
      <c r="Q48" s="24">
        <v>0</v>
      </c>
      <c r="R48" s="24">
        <v>0</v>
      </c>
      <c r="S48" s="24">
        <v>0</v>
      </c>
      <c r="T48" s="24">
        <v>6000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>SUM(J48:Y48)</f>
        <v>64680</v>
      </c>
      <c r="AA48" s="24">
        <v>0</v>
      </c>
      <c r="AB48" s="20">
        <f>Z48-AA48</f>
        <v>64680</v>
      </c>
      <c r="AC48" s="24" t="str">
        <f>IF(AND($T48=6000, ($T48+$W48-$AB48)&gt;=6000),T48,"")</f>
        <v/>
      </c>
      <c r="AD48" s="24" t="str">
        <f>IF(AND($T48=8000, ($T48+$W48-$AB48)&gt;=8000),T48,"")</f>
        <v/>
      </c>
      <c r="AE48" s="24" t="str">
        <f>IF(($T48+$W48-$AB48)&gt;=$T48+8000,W48,"")</f>
        <v/>
      </c>
    </row>
    <row r="49" spans="1:31" x14ac:dyDescent="0.25">
      <c r="A49" s="22" t="s">
        <v>123</v>
      </c>
      <c r="B49" s="22" t="s">
        <v>124</v>
      </c>
      <c r="C49" s="22" t="s">
        <v>47</v>
      </c>
      <c r="D49" s="23">
        <v>0</v>
      </c>
      <c r="E49" s="24">
        <v>0</v>
      </c>
      <c r="F49" s="24">
        <v>26000</v>
      </c>
      <c r="G49" s="24">
        <v>4000</v>
      </c>
      <c r="H49" s="24">
        <v>0</v>
      </c>
      <c r="I49" s="24">
        <v>0</v>
      </c>
      <c r="J49" s="24">
        <f>(1-$D49)*E49</f>
        <v>0</v>
      </c>
      <c r="K49" s="24">
        <f>(1-$D49)*F49</f>
        <v>26000</v>
      </c>
      <c r="L49" s="24">
        <f>G49</f>
        <v>4000</v>
      </c>
      <c r="M49" s="24">
        <f>(1-$D49)*H49</f>
        <v>0</v>
      </c>
      <c r="N49" s="24">
        <f>(1-$D49)*I49</f>
        <v>0</v>
      </c>
      <c r="O49" s="24">
        <v>24450</v>
      </c>
      <c r="P49" s="24">
        <v>10730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14240</v>
      </c>
      <c r="Z49" s="24">
        <f>SUM(J49:Y49)</f>
        <v>85420</v>
      </c>
      <c r="AA49" s="24">
        <v>0</v>
      </c>
      <c r="AB49" s="20">
        <f>Z49-AA49</f>
        <v>85420</v>
      </c>
      <c r="AC49" s="24" t="str">
        <f>IF(AND($T49=6000, ($T49+$W49-$AB49)&gt;=6000),T49,"")</f>
        <v/>
      </c>
      <c r="AD49" s="24" t="str">
        <f>IF(AND($T49=8000, ($T49+$W49-$AB49)&gt;=8000),T49,"")</f>
        <v/>
      </c>
      <c r="AE49" s="24" t="str">
        <f>IF(($T49+$W49-$AB49)&gt;=$T49+8000,W49,"")</f>
        <v/>
      </c>
    </row>
    <row r="50" spans="1:31" x14ac:dyDescent="0.25">
      <c r="A50" s="22" t="s">
        <v>151</v>
      </c>
      <c r="B50" s="22" t="s">
        <v>152</v>
      </c>
      <c r="C50" s="22" t="s">
        <v>49</v>
      </c>
      <c r="D50" s="23">
        <v>0</v>
      </c>
      <c r="E50" s="24">
        <v>0</v>
      </c>
      <c r="F50" s="24">
        <v>26000</v>
      </c>
      <c r="G50" s="24">
        <v>4000</v>
      </c>
      <c r="H50" s="24">
        <v>1000</v>
      </c>
      <c r="I50" s="24">
        <v>0</v>
      </c>
      <c r="J50" s="24">
        <f>(1-$D50)*E50</f>
        <v>0</v>
      </c>
      <c r="K50" s="24">
        <f>(1-$D50)*F50</f>
        <v>26000</v>
      </c>
      <c r="L50" s="24">
        <f>G50</f>
        <v>4000</v>
      </c>
      <c r="M50" s="24">
        <f>(1-$D50)*H50</f>
        <v>1000</v>
      </c>
      <c r="N50" s="24">
        <f>(1-$D50)*I50</f>
        <v>0</v>
      </c>
      <c r="O50" s="24">
        <v>6840</v>
      </c>
      <c r="P50" s="24">
        <v>5300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-1000</v>
      </c>
      <c r="Z50" s="24">
        <f>SUM(J50:Y50)</f>
        <v>42140</v>
      </c>
      <c r="AA50" s="24">
        <v>0</v>
      </c>
      <c r="AB50" s="20">
        <f>Z50-AA50</f>
        <v>42140</v>
      </c>
      <c r="AC50" s="24" t="str">
        <f>IF(AND($T50=6000, ($T50+$W50-$AB50)&gt;=6000),T50,"")</f>
        <v/>
      </c>
      <c r="AD50" s="24" t="str">
        <f>IF(AND($T50=8000, ($T50+$W50-$AB50)&gt;=8000),T50,"")</f>
        <v/>
      </c>
      <c r="AE50" s="24" t="str">
        <f>IF(($T50+$W50-$AB50)&gt;=$T50+8000,W50,"")</f>
        <v/>
      </c>
    </row>
    <row r="51" spans="1:31" x14ac:dyDescent="0.25">
      <c r="A51" s="22" t="s">
        <v>203</v>
      </c>
      <c r="B51" s="22" t="s">
        <v>214</v>
      </c>
      <c r="C51" s="22" t="s">
        <v>49</v>
      </c>
      <c r="D51" s="23">
        <v>0</v>
      </c>
      <c r="E51" s="24">
        <v>0</v>
      </c>
      <c r="F51" s="24">
        <v>26000</v>
      </c>
      <c r="G51" s="24">
        <v>4000</v>
      </c>
      <c r="H51" s="24">
        <v>1000</v>
      </c>
      <c r="I51" s="24">
        <v>0</v>
      </c>
      <c r="J51" s="24">
        <f>(1-$D51)*E51</f>
        <v>0</v>
      </c>
      <c r="K51" s="24">
        <f>(1-$D51)*F51</f>
        <v>26000</v>
      </c>
      <c r="L51" s="24">
        <f>G51</f>
        <v>4000</v>
      </c>
      <c r="M51" s="24">
        <f>(1-$D51)*H51</f>
        <v>1000</v>
      </c>
      <c r="N51" s="24">
        <f>(1-$D51)*I51</f>
        <v>0</v>
      </c>
      <c r="O51" s="24">
        <v>6840</v>
      </c>
      <c r="P51" s="24">
        <v>5300</v>
      </c>
      <c r="Q51" s="24">
        <v>0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0</v>
      </c>
      <c r="Z51" s="24">
        <f>SUM(J51:Y51)</f>
        <v>43140</v>
      </c>
      <c r="AA51" s="24">
        <v>0</v>
      </c>
      <c r="AB51" s="20">
        <f>Z51-AA51</f>
        <v>43140</v>
      </c>
      <c r="AC51" s="24" t="str">
        <f>IF(AND($T51=6000, ($T51+$W51-$AB51)&gt;=6000),T51,"")</f>
        <v/>
      </c>
      <c r="AD51" s="24" t="str">
        <f>IF(AND($T51=8000, ($T51+$W51-$AB51)&gt;=8000),T51,"")</f>
        <v/>
      </c>
      <c r="AE51" s="24" t="str">
        <f>IF(($T51+$W51-$AB51)&gt;=$T51+8000,W51,"")</f>
        <v/>
      </c>
    </row>
    <row r="52" spans="1:31" x14ac:dyDescent="0.25">
      <c r="A52" s="22" t="s">
        <v>188</v>
      </c>
      <c r="B52" s="22" t="s">
        <v>190</v>
      </c>
      <c r="C52" s="22" t="s">
        <v>49</v>
      </c>
      <c r="D52" s="23">
        <v>0</v>
      </c>
      <c r="E52" s="24">
        <v>0</v>
      </c>
      <c r="F52" s="24">
        <v>26000</v>
      </c>
      <c r="G52" s="24">
        <v>4000</v>
      </c>
      <c r="H52" s="24">
        <v>1000</v>
      </c>
      <c r="I52" s="24">
        <v>0</v>
      </c>
      <c r="J52" s="24">
        <f>(1-$D52)*E52</f>
        <v>0</v>
      </c>
      <c r="K52" s="24">
        <f>(1-$D52)*F52</f>
        <v>26000</v>
      </c>
      <c r="L52" s="24">
        <f>G52</f>
        <v>4000</v>
      </c>
      <c r="M52" s="24">
        <f>(1-$D52)*H52</f>
        <v>1000</v>
      </c>
      <c r="N52" s="24">
        <f>(1-$D52)*I52</f>
        <v>0</v>
      </c>
      <c r="O52" s="24">
        <v>6840</v>
      </c>
      <c r="P52" s="24">
        <v>5300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f>SUM(J52:Y52)</f>
        <v>43140</v>
      </c>
      <c r="AA52" s="24">
        <v>0</v>
      </c>
      <c r="AB52" s="20">
        <f>Z52-AA52</f>
        <v>43140</v>
      </c>
      <c r="AC52" s="24" t="str">
        <f>IF(AND($T52=6000, ($T52+$W52-$AB52)&gt;=6000),T52,"")</f>
        <v/>
      </c>
      <c r="AD52" s="24" t="str">
        <f>IF(AND($T52=8000, ($T52+$W52-$AB52)&gt;=8000),T52,"")</f>
        <v/>
      </c>
      <c r="AE52" s="24" t="str">
        <f>IF(($T52+$W52-$AB52)&gt;=$T52+8000,W52,"")</f>
        <v/>
      </c>
    </row>
    <row r="53" spans="1:31" x14ac:dyDescent="0.25">
      <c r="A53" s="22" t="s">
        <v>187</v>
      </c>
      <c r="B53" s="22" t="s">
        <v>201</v>
      </c>
      <c r="C53" s="22" t="s">
        <v>49</v>
      </c>
      <c r="D53" s="23">
        <v>0</v>
      </c>
      <c r="E53" s="24">
        <v>0</v>
      </c>
      <c r="F53" s="24">
        <v>26000</v>
      </c>
      <c r="G53" s="24">
        <v>4000</v>
      </c>
      <c r="H53" s="24">
        <v>1000</v>
      </c>
      <c r="I53" s="24">
        <v>0</v>
      </c>
      <c r="J53" s="24">
        <f>(1-$D53)*E53</f>
        <v>0</v>
      </c>
      <c r="K53" s="24">
        <f>(1-$D53)*F53</f>
        <v>26000</v>
      </c>
      <c r="L53" s="24">
        <f>G53</f>
        <v>4000</v>
      </c>
      <c r="M53" s="24">
        <f>(1-$D53)*H53</f>
        <v>1000</v>
      </c>
      <c r="N53" s="24">
        <f>(1-$D53)*I53</f>
        <v>0</v>
      </c>
      <c r="O53" s="24">
        <v>6840</v>
      </c>
      <c r="P53" s="24">
        <v>5300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>SUM(J53:Y53)</f>
        <v>43140</v>
      </c>
      <c r="AA53" s="24">
        <v>0</v>
      </c>
      <c r="AB53" s="20">
        <f>Z53-AA53</f>
        <v>43140</v>
      </c>
      <c r="AC53" s="24" t="str">
        <f>IF(AND($T53=6000, ($T53+$W53-$AB53)&gt;=6000),T53,"")</f>
        <v/>
      </c>
      <c r="AD53" s="24" t="str">
        <f>IF(AND($T53=8000, ($T53+$W53-$AB53)&gt;=8000),T53,"")</f>
        <v/>
      </c>
      <c r="AE53" s="24" t="str">
        <f>IF(($T53+$W53-$AB53)&gt;=$T53+8000,W53,"")</f>
        <v/>
      </c>
    </row>
    <row r="54" spans="1:31" x14ac:dyDescent="0.25">
      <c r="A54" s="22" t="s">
        <v>173</v>
      </c>
      <c r="B54" s="22" t="s">
        <v>174</v>
      </c>
      <c r="C54" s="22" t="s">
        <v>49</v>
      </c>
      <c r="D54" s="23">
        <v>0</v>
      </c>
      <c r="E54" s="24">
        <v>0</v>
      </c>
      <c r="F54" s="24">
        <v>26000</v>
      </c>
      <c r="G54" s="24">
        <v>4000</v>
      </c>
      <c r="H54" s="24">
        <v>1000</v>
      </c>
      <c r="I54" s="24">
        <v>0</v>
      </c>
      <c r="J54" s="24">
        <f>(1-$D54)*E54</f>
        <v>0</v>
      </c>
      <c r="K54" s="24">
        <f>(1-$D54)*F54</f>
        <v>26000</v>
      </c>
      <c r="L54" s="24">
        <f>G54</f>
        <v>4000</v>
      </c>
      <c r="M54" s="24">
        <f>(1-$D54)*H54</f>
        <v>1000</v>
      </c>
      <c r="N54" s="24">
        <f>(1-$D54)*I54</f>
        <v>0</v>
      </c>
      <c r="O54" s="24">
        <v>6840</v>
      </c>
      <c r="P54" s="24">
        <v>5300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f>SUM(J54:Y54)</f>
        <v>43140</v>
      </c>
      <c r="AA54" s="24">
        <v>0</v>
      </c>
      <c r="AB54" s="20">
        <f>Z54-AA54</f>
        <v>43140</v>
      </c>
      <c r="AC54" s="24" t="str">
        <f>IF(AND($T54=6000, ($T54+$W54-$AB54)&gt;=6000),T54,"")</f>
        <v/>
      </c>
      <c r="AD54" s="24" t="str">
        <f>IF(AND($T54=8000, ($T54+$W54-$AB54)&gt;=8000),T54,"")</f>
        <v/>
      </c>
      <c r="AE54" s="24" t="str">
        <f>IF(($T54+$W54-$AB54)&gt;=$T54+8000,W54,"")</f>
        <v/>
      </c>
    </row>
    <row r="55" spans="1:31" x14ac:dyDescent="0.25">
      <c r="A55" s="22" t="s">
        <v>244</v>
      </c>
      <c r="B55" s="22" t="s">
        <v>245</v>
      </c>
      <c r="C55" s="22" t="s">
        <v>49</v>
      </c>
      <c r="D55" s="23">
        <v>0</v>
      </c>
      <c r="E55" s="24">
        <v>0</v>
      </c>
      <c r="F55" s="24">
        <v>26000</v>
      </c>
      <c r="G55" s="24">
        <v>4000</v>
      </c>
      <c r="H55" s="24">
        <v>1000</v>
      </c>
      <c r="I55" s="24">
        <v>0</v>
      </c>
      <c r="J55" s="24">
        <f>(1-$D55)*E55</f>
        <v>0</v>
      </c>
      <c r="K55" s="24">
        <f>(1-$D55)*F55</f>
        <v>26000</v>
      </c>
      <c r="L55" s="24">
        <f>G55</f>
        <v>4000</v>
      </c>
      <c r="M55" s="24">
        <f>(1-$D55)*H55</f>
        <v>1000</v>
      </c>
      <c r="N55" s="24">
        <f>(1-$D55)*I55</f>
        <v>0</v>
      </c>
      <c r="O55" s="24">
        <v>6840</v>
      </c>
      <c r="P55" s="24">
        <v>5300</v>
      </c>
      <c r="Q55" s="24">
        <v>0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>SUM(J55:Y55)</f>
        <v>43140</v>
      </c>
      <c r="AA55" s="24">
        <v>0</v>
      </c>
      <c r="AB55" s="20">
        <f>Z55-AA55</f>
        <v>43140</v>
      </c>
      <c r="AC55" s="24" t="str">
        <f>IF(AND($T55=6000, ($T55+$W55-$AB55)&gt;=6000),T55,"")</f>
        <v/>
      </c>
      <c r="AD55" s="24" t="str">
        <f>IF(AND($T55=8000, ($T55+$W55-$AB55)&gt;=8000),T55,"")</f>
        <v/>
      </c>
      <c r="AE55" s="24" t="str">
        <f>IF(($T55+$W55-$AB55)&gt;=$T55+8000,W55,"")</f>
        <v/>
      </c>
    </row>
    <row r="56" spans="1:31" x14ac:dyDescent="0.25">
      <c r="A56" s="22" t="s">
        <v>175</v>
      </c>
      <c r="B56" s="22" t="s">
        <v>176</v>
      </c>
      <c r="C56" s="22" t="s">
        <v>49</v>
      </c>
      <c r="D56" s="23">
        <v>0</v>
      </c>
      <c r="E56" s="24">
        <v>0</v>
      </c>
      <c r="F56" s="24">
        <v>26000</v>
      </c>
      <c r="G56" s="24">
        <v>4000</v>
      </c>
      <c r="H56" s="24">
        <v>1000</v>
      </c>
      <c r="I56" s="24">
        <v>0</v>
      </c>
      <c r="J56" s="24">
        <f>(1-$D56)*E56</f>
        <v>0</v>
      </c>
      <c r="K56" s="24">
        <f>(1-$D56)*F56</f>
        <v>26000</v>
      </c>
      <c r="L56" s="24">
        <f>G56</f>
        <v>4000</v>
      </c>
      <c r="M56" s="24">
        <f>(1-$D56)*H56</f>
        <v>1000</v>
      </c>
      <c r="N56" s="24">
        <f>(1-$D56)*I56</f>
        <v>0</v>
      </c>
      <c r="O56" s="24">
        <v>6840</v>
      </c>
      <c r="P56" s="24">
        <v>5300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2000</v>
      </c>
      <c r="Z56" s="24">
        <f>SUM(J56:Y56)</f>
        <v>45140</v>
      </c>
      <c r="AA56" s="24">
        <v>0</v>
      </c>
      <c r="AB56" s="20">
        <f>Z56-AA56</f>
        <v>45140</v>
      </c>
      <c r="AC56" s="24" t="str">
        <f>IF(AND($T56=6000, ($T56+$W56-$AB56)&gt;=6000),T56,"")</f>
        <v/>
      </c>
      <c r="AD56" s="24" t="str">
        <f>IF(AND($T56=8000, ($T56+$W56-$AB56)&gt;=8000),T56,"")</f>
        <v/>
      </c>
      <c r="AE56" s="24" t="str">
        <f>IF(($T56+$W56-$AB56)&gt;=$T56+8000,W56,"")</f>
        <v/>
      </c>
    </row>
    <row r="57" spans="1:31" x14ac:dyDescent="0.25">
      <c r="A57" s="22" t="s">
        <v>213</v>
      </c>
      <c r="B57" s="22" t="s">
        <v>223</v>
      </c>
      <c r="C57" s="22" t="s">
        <v>49</v>
      </c>
      <c r="D57" s="23">
        <v>0.5</v>
      </c>
      <c r="E57" s="24">
        <v>0</v>
      </c>
      <c r="F57" s="24">
        <v>26000</v>
      </c>
      <c r="G57" s="24">
        <v>4000</v>
      </c>
      <c r="H57" s="24">
        <v>1000</v>
      </c>
      <c r="I57" s="24">
        <v>0</v>
      </c>
      <c r="J57" s="24">
        <f>(1-$D57)*E57</f>
        <v>0</v>
      </c>
      <c r="K57" s="24">
        <f>(1-$D57)*F57</f>
        <v>13000</v>
      </c>
      <c r="L57" s="24">
        <f>G57</f>
        <v>4000</v>
      </c>
      <c r="M57" s="24">
        <f>(1-$D57)*H57</f>
        <v>500</v>
      </c>
      <c r="N57" s="24">
        <f>(1-$D57)*I57</f>
        <v>0</v>
      </c>
      <c r="O57" s="24">
        <v>6840</v>
      </c>
      <c r="P57" s="24">
        <v>5300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>SUM(J57:Y57)</f>
        <v>29640</v>
      </c>
      <c r="AA57" s="24">
        <v>0</v>
      </c>
      <c r="AB57" s="20">
        <f>Z57-AA57</f>
        <v>29640</v>
      </c>
      <c r="AC57" s="24" t="str">
        <f>IF(AND($T57=6000, ($T57+$W57-$AB57)&gt;=6000),T57,"")</f>
        <v/>
      </c>
      <c r="AD57" s="24" t="str">
        <f>IF(AND($T57=8000, ($T57+$W57-$AB57)&gt;=8000),T57,"")</f>
        <v/>
      </c>
      <c r="AE57" s="24" t="str">
        <f>IF(($T57+$W57-$AB57)&gt;=$T57+8000,W57,"")</f>
        <v/>
      </c>
    </row>
    <row r="58" spans="1:31" x14ac:dyDescent="0.25">
      <c r="A58" s="22" t="s">
        <v>171</v>
      </c>
      <c r="B58" s="22" t="s">
        <v>172</v>
      </c>
      <c r="C58" s="22" t="s">
        <v>49</v>
      </c>
      <c r="D58" s="23">
        <v>0</v>
      </c>
      <c r="E58" s="24">
        <v>0</v>
      </c>
      <c r="F58" s="24">
        <v>26000</v>
      </c>
      <c r="G58" s="24">
        <v>4000</v>
      </c>
      <c r="H58" s="24">
        <v>1000</v>
      </c>
      <c r="I58" s="24">
        <v>0</v>
      </c>
      <c r="J58" s="24">
        <f>(1-$D58)*E58</f>
        <v>0</v>
      </c>
      <c r="K58" s="24">
        <f>(1-$D58)*F58</f>
        <v>26000</v>
      </c>
      <c r="L58" s="24">
        <f>G58</f>
        <v>4000</v>
      </c>
      <c r="M58" s="24">
        <f>(1-$D58)*H58</f>
        <v>1000</v>
      </c>
      <c r="N58" s="24">
        <f>(1-$D58)*I58</f>
        <v>0</v>
      </c>
      <c r="O58" s="24">
        <v>6840</v>
      </c>
      <c r="P58" s="24">
        <v>5300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f>SUM(J58:Y58)</f>
        <v>43140</v>
      </c>
      <c r="AA58" s="24">
        <v>0</v>
      </c>
      <c r="AB58" s="20">
        <f>Z58-AA58</f>
        <v>43140</v>
      </c>
      <c r="AC58" s="24" t="str">
        <f>IF(AND($T58=6000, ($T58+$W58-$AB58)&gt;=6000),T58,"")</f>
        <v/>
      </c>
      <c r="AD58" s="24" t="str">
        <f>IF(AND($T58=8000, ($T58+$W58-$AB58)&gt;=8000),T58,"")</f>
        <v/>
      </c>
      <c r="AE58" s="24" t="str">
        <f>IF(($T58+$W58-$AB58)&gt;=$T58+8000,W58,"")</f>
        <v/>
      </c>
    </row>
    <row r="59" spans="1:31" x14ac:dyDescent="0.25">
      <c r="A59" s="22" t="s">
        <v>88</v>
      </c>
      <c r="B59" s="22" t="s">
        <v>219</v>
      </c>
      <c r="C59" s="22" t="s">
        <v>49</v>
      </c>
      <c r="D59" s="23">
        <v>0.25</v>
      </c>
      <c r="E59" s="24">
        <v>0</v>
      </c>
      <c r="F59" s="24">
        <v>26000</v>
      </c>
      <c r="G59" s="24">
        <v>4000</v>
      </c>
      <c r="H59" s="24">
        <v>1000</v>
      </c>
      <c r="I59" s="24">
        <v>0</v>
      </c>
      <c r="J59" s="24">
        <f>(1-$D59)*E59</f>
        <v>0</v>
      </c>
      <c r="K59" s="24">
        <f>(1-$D59)*F59</f>
        <v>19500</v>
      </c>
      <c r="L59" s="24">
        <f>G59</f>
        <v>4000</v>
      </c>
      <c r="M59" s="24">
        <f>(1-$D59)*H59</f>
        <v>750</v>
      </c>
      <c r="N59" s="24">
        <f>(1-$D59)*I59</f>
        <v>0</v>
      </c>
      <c r="O59" s="24">
        <v>6840</v>
      </c>
      <c r="P59" s="24">
        <v>5300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-500</v>
      </c>
      <c r="Z59" s="24">
        <f>SUM(J59:Y59)</f>
        <v>35890</v>
      </c>
      <c r="AA59" s="24">
        <v>0</v>
      </c>
      <c r="AB59" s="20">
        <f>Z59-AA59</f>
        <v>35890</v>
      </c>
      <c r="AC59" s="24" t="str">
        <f>IF(AND($T59=6000, ($T59+$W59-$AB59)&gt;=6000),T59,"")</f>
        <v/>
      </c>
      <c r="AD59" s="24" t="str">
        <f>IF(AND($T59=8000, ($T59+$W59-$AB59)&gt;=8000),T59,"")</f>
        <v/>
      </c>
      <c r="AE59" s="24" t="str">
        <f>IF(($T59+$W59-$AB59)&gt;=$T59+8000,W59,"")</f>
        <v/>
      </c>
    </row>
    <row r="60" spans="1:31" x14ac:dyDescent="0.25">
      <c r="A60" s="22" t="s">
        <v>159</v>
      </c>
      <c r="B60" s="22" t="s">
        <v>215</v>
      </c>
      <c r="C60" s="22" t="s">
        <v>49</v>
      </c>
      <c r="D60" s="23">
        <v>0.25</v>
      </c>
      <c r="E60" s="24">
        <v>0</v>
      </c>
      <c r="F60" s="24">
        <v>26000</v>
      </c>
      <c r="G60" s="24">
        <v>4000</v>
      </c>
      <c r="H60" s="24">
        <v>1000</v>
      </c>
      <c r="I60" s="24">
        <v>0</v>
      </c>
      <c r="J60" s="24">
        <f>(1-$D60)*E60</f>
        <v>0</v>
      </c>
      <c r="K60" s="24">
        <f>(1-$D60)*F60</f>
        <v>19500</v>
      </c>
      <c r="L60" s="24">
        <f>G60</f>
        <v>4000</v>
      </c>
      <c r="M60" s="24">
        <f>(1-$D60)*H60</f>
        <v>750</v>
      </c>
      <c r="N60" s="24">
        <f>(1-$D60)*I60</f>
        <v>0</v>
      </c>
      <c r="O60" s="24">
        <v>6840</v>
      </c>
      <c r="P60" s="24">
        <v>5300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f>SUM(J60:Y60)</f>
        <v>36390</v>
      </c>
      <c r="AA60" s="24">
        <v>0</v>
      </c>
      <c r="AB60" s="20">
        <f>Z60-AA60</f>
        <v>36390</v>
      </c>
      <c r="AC60" s="24" t="str">
        <f>IF(AND($T60=6000, ($T60+$W60-$AB60)&gt;=6000),T60,"")</f>
        <v/>
      </c>
      <c r="AD60" s="24" t="str">
        <f>IF(AND($T60=8000, ($T60+$W60-$AB60)&gt;=8000),T60,"")</f>
        <v/>
      </c>
      <c r="AE60" s="24" t="str">
        <f>IF(($T60+$W60-$AB60)&gt;=$T60+8000,W60,"")</f>
        <v/>
      </c>
    </row>
    <row r="61" spans="1:31" x14ac:dyDescent="0.25">
      <c r="A61" s="22" t="s">
        <v>207</v>
      </c>
      <c r="B61" s="22" t="s">
        <v>217</v>
      </c>
      <c r="C61" s="22" t="s">
        <v>49</v>
      </c>
      <c r="D61" s="23">
        <v>0.25</v>
      </c>
      <c r="E61" s="24">
        <v>0</v>
      </c>
      <c r="F61" s="24">
        <v>26000</v>
      </c>
      <c r="G61" s="24">
        <v>4000</v>
      </c>
      <c r="H61" s="24">
        <v>1000</v>
      </c>
      <c r="I61" s="24">
        <v>0</v>
      </c>
      <c r="J61" s="24">
        <f>(1-$D61)*E61</f>
        <v>0</v>
      </c>
      <c r="K61" s="24">
        <f>(1-$D61)*F61</f>
        <v>19500</v>
      </c>
      <c r="L61" s="24">
        <f>G61</f>
        <v>4000</v>
      </c>
      <c r="M61" s="24">
        <f>(1-$D61)*H61</f>
        <v>750</v>
      </c>
      <c r="N61" s="24">
        <f>(1-$D61)*I61</f>
        <v>0</v>
      </c>
      <c r="O61" s="24">
        <v>6840</v>
      </c>
      <c r="P61" s="24">
        <v>5300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19200</v>
      </c>
      <c r="Z61" s="24">
        <f>SUM(J61:Y61)</f>
        <v>55590</v>
      </c>
      <c r="AA61" s="24">
        <v>0</v>
      </c>
      <c r="AB61" s="20">
        <f>Z61-AA61</f>
        <v>55590</v>
      </c>
      <c r="AC61" s="24" t="str">
        <f>IF(AND($T61=6000, ($T61+$W61-$AB61)&gt;=6000),T61,"")</f>
        <v/>
      </c>
      <c r="AD61" s="24" t="str">
        <f>IF(AND($T61=8000, ($T61+$W61-$AB61)&gt;=8000),T61,"")</f>
        <v/>
      </c>
      <c r="AE61" s="24" t="str">
        <f>IF(($T61+$W61-$AB61)&gt;=$T61+8000,W61,"")</f>
        <v/>
      </c>
    </row>
    <row r="62" spans="1:31" x14ac:dyDescent="0.25">
      <c r="A62" s="22" t="s">
        <v>207</v>
      </c>
      <c r="B62" s="22" t="s">
        <v>216</v>
      </c>
      <c r="C62" s="22" t="s">
        <v>49</v>
      </c>
      <c r="D62" s="23">
        <v>0.25</v>
      </c>
      <c r="E62" s="24">
        <v>0</v>
      </c>
      <c r="F62" s="24">
        <v>26000</v>
      </c>
      <c r="G62" s="24">
        <v>4000</v>
      </c>
      <c r="H62" s="24">
        <v>1000</v>
      </c>
      <c r="I62" s="24">
        <v>0</v>
      </c>
      <c r="J62" s="24">
        <f>(1-$D62)*E62</f>
        <v>0</v>
      </c>
      <c r="K62" s="24">
        <f>(1-$D62)*F62</f>
        <v>19500</v>
      </c>
      <c r="L62" s="24">
        <f>G62</f>
        <v>4000</v>
      </c>
      <c r="M62" s="24">
        <f>(1-$D62)*H62</f>
        <v>750</v>
      </c>
      <c r="N62" s="24">
        <f>(1-$D62)*I62</f>
        <v>0</v>
      </c>
      <c r="O62" s="24">
        <v>6840</v>
      </c>
      <c r="P62" s="24">
        <v>5300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19200</v>
      </c>
      <c r="Z62" s="24">
        <f>SUM(J62:Y62)</f>
        <v>55590</v>
      </c>
      <c r="AA62" s="24">
        <v>0</v>
      </c>
      <c r="AB62" s="20">
        <f>Z62-AA62</f>
        <v>55590</v>
      </c>
      <c r="AC62" s="24" t="str">
        <f>IF(AND($T62=6000, ($T62+$W62-$AB62)&gt;=6000),T62,"")</f>
        <v/>
      </c>
      <c r="AD62" s="24" t="str">
        <f>IF(AND($T62=8000, ($T62+$W62-$AB62)&gt;=8000),T62,"")</f>
        <v/>
      </c>
      <c r="AE62" s="24" t="str">
        <f>IF(($T62+$W62-$AB62)&gt;=$T62+8000,W62,"")</f>
        <v/>
      </c>
    </row>
    <row r="63" spans="1:31" x14ac:dyDescent="0.25">
      <c r="A63" s="22" t="s">
        <v>98</v>
      </c>
      <c r="B63" s="22" t="s">
        <v>145</v>
      </c>
      <c r="C63" s="22" t="s">
        <v>49</v>
      </c>
      <c r="D63" s="23">
        <v>0.25</v>
      </c>
      <c r="E63" s="24">
        <v>0</v>
      </c>
      <c r="F63" s="24">
        <v>26000</v>
      </c>
      <c r="G63" s="24">
        <v>4000</v>
      </c>
      <c r="H63" s="24">
        <v>1000</v>
      </c>
      <c r="I63" s="24">
        <v>0</v>
      </c>
      <c r="J63" s="24">
        <f>(1-$D63)*E63</f>
        <v>0</v>
      </c>
      <c r="K63" s="24">
        <f>(1-$D63)*F63</f>
        <v>19500</v>
      </c>
      <c r="L63" s="24">
        <f>G63</f>
        <v>4000</v>
      </c>
      <c r="M63" s="24">
        <f>(1-$D63)*H63</f>
        <v>750</v>
      </c>
      <c r="N63" s="24">
        <f>(1-$D63)*I63</f>
        <v>0</v>
      </c>
      <c r="O63" s="24">
        <v>6840</v>
      </c>
      <c r="P63" s="24">
        <v>5300</v>
      </c>
      <c r="Q63" s="24">
        <v>16000</v>
      </c>
      <c r="R63" s="24">
        <v>8000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>SUM(J63:Y63)</f>
        <v>60390</v>
      </c>
      <c r="AA63" s="24">
        <v>0</v>
      </c>
      <c r="AB63" s="20">
        <f>Z63-AA63</f>
        <v>60390</v>
      </c>
      <c r="AC63" s="24" t="str">
        <f>IF(AND($T63=6000, ($T63+$W63-$AB63)&gt;=6000),T63,"")</f>
        <v/>
      </c>
      <c r="AD63" s="24" t="str">
        <f>IF(AND($T63=8000, ($T63+$W63-$AB63)&gt;=8000),T63,"")</f>
        <v/>
      </c>
      <c r="AE63" s="24" t="str">
        <f>IF(($T63+$W63-$AB63)&gt;=$T63+8000,W63,"")</f>
        <v/>
      </c>
    </row>
    <row r="64" spans="1:31" x14ac:dyDescent="0.25">
      <c r="A64" s="22" t="s">
        <v>204</v>
      </c>
      <c r="B64" s="22" t="s">
        <v>205</v>
      </c>
      <c r="C64" s="22" t="s">
        <v>49</v>
      </c>
      <c r="D64" s="23">
        <v>0.25</v>
      </c>
      <c r="E64" s="24">
        <v>0</v>
      </c>
      <c r="F64" s="24">
        <v>26000</v>
      </c>
      <c r="G64" s="24">
        <v>4000</v>
      </c>
      <c r="H64" s="24">
        <v>1000</v>
      </c>
      <c r="I64" s="24">
        <v>0</v>
      </c>
      <c r="J64" s="24">
        <f>(1-$D64)*E64</f>
        <v>0</v>
      </c>
      <c r="K64" s="24">
        <f>(1-$D64)*F64</f>
        <v>19500</v>
      </c>
      <c r="L64" s="24">
        <f>G64</f>
        <v>4000</v>
      </c>
      <c r="M64" s="24">
        <f>(1-$D64)*H64</f>
        <v>750</v>
      </c>
      <c r="N64" s="24">
        <f>(1-$D64)*I64</f>
        <v>0</v>
      </c>
      <c r="O64" s="24">
        <v>6840</v>
      </c>
      <c r="P64" s="24">
        <v>5300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3500</v>
      </c>
      <c r="Z64" s="24">
        <f>SUM(J64:Y64)</f>
        <v>39890</v>
      </c>
      <c r="AA64" s="24">
        <v>0</v>
      </c>
      <c r="AB64" s="20">
        <f>Z64-AA64</f>
        <v>39890</v>
      </c>
      <c r="AC64" s="24" t="str">
        <f>IF(AND($T64=6000, ($T64+$W64-$AB64)&gt;=6000),T64,"")</f>
        <v/>
      </c>
      <c r="AD64" s="24" t="str">
        <f>IF(AND($T64=8000, ($T64+$W64-$AB64)&gt;=8000),T64,"")</f>
        <v/>
      </c>
      <c r="AE64" s="24" t="str">
        <f>IF(($T64+$W64-$AB64)&gt;=$T64+8000,W64,"")</f>
        <v/>
      </c>
    </row>
    <row r="65" spans="1:31" x14ac:dyDescent="0.25">
      <c r="A65" s="22" t="s">
        <v>211</v>
      </c>
      <c r="B65" s="22" t="s">
        <v>212</v>
      </c>
      <c r="C65" s="22" t="s">
        <v>49</v>
      </c>
      <c r="D65" s="23">
        <v>0</v>
      </c>
      <c r="E65" s="24">
        <v>0</v>
      </c>
      <c r="F65" s="24">
        <v>26000</v>
      </c>
      <c r="G65" s="24">
        <v>4000</v>
      </c>
      <c r="H65" s="24">
        <v>1000</v>
      </c>
      <c r="I65" s="24">
        <v>0</v>
      </c>
      <c r="J65" s="24">
        <f>(1-$D65)*E65</f>
        <v>0</v>
      </c>
      <c r="K65" s="24">
        <f>(1-$D65)*F65</f>
        <v>26000</v>
      </c>
      <c r="L65" s="24">
        <f>G65</f>
        <v>4000</v>
      </c>
      <c r="M65" s="24">
        <f>(1-$D65)*H65</f>
        <v>1000</v>
      </c>
      <c r="N65" s="24">
        <f>(1-$D65)*I65</f>
        <v>0</v>
      </c>
      <c r="O65" s="24">
        <v>6840</v>
      </c>
      <c r="P65" s="24">
        <v>5300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-10000</v>
      </c>
      <c r="Z65" s="24">
        <f>SUM(J65:Y65)</f>
        <v>33140</v>
      </c>
      <c r="AA65" s="24">
        <v>0</v>
      </c>
      <c r="AB65" s="20">
        <f>Z65-AA65</f>
        <v>33140</v>
      </c>
      <c r="AC65" s="24" t="str">
        <f>IF(AND($T65=6000, ($T65+$W65-$AB65)&gt;=6000),T65,"")</f>
        <v/>
      </c>
      <c r="AD65" s="24" t="str">
        <f>IF(AND($T65=8000, ($T65+$W65-$AB65)&gt;=8000),T65,"")</f>
        <v/>
      </c>
      <c r="AE65" s="24" t="str">
        <f>IF(($T65+$W65-$AB65)&gt;=$T65+8000,W65,"")</f>
        <v/>
      </c>
    </row>
    <row r="66" spans="1:31" x14ac:dyDescent="0.25">
      <c r="A66" s="22" t="s">
        <v>220</v>
      </c>
      <c r="B66" s="22" t="s">
        <v>221</v>
      </c>
      <c r="C66" s="22" t="s">
        <v>49</v>
      </c>
      <c r="D66" s="23">
        <v>0</v>
      </c>
      <c r="E66" s="24">
        <v>0</v>
      </c>
      <c r="F66" s="24">
        <v>26000</v>
      </c>
      <c r="G66" s="24">
        <v>4000</v>
      </c>
      <c r="H66" s="24">
        <v>1000</v>
      </c>
      <c r="I66" s="24">
        <v>0</v>
      </c>
      <c r="J66" s="24">
        <f>(1-$D66)*E66</f>
        <v>0</v>
      </c>
      <c r="K66" s="24">
        <f>(1-$D66)*F66</f>
        <v>26000</v>
      </c>
      <c r="L66" s="24">
        <f>G66</f>
        <v>4000</v>
      </c>
      <c r="M66" s="24">
        <f>(1-$D66)*H66</f>
        <v>1000</v>
      </c>
      <c r="N66" s="24">
        <f>(1-$D66)*I66</f>
        <v>0</v>
      </c>
      <c r="O66" s="24">
        <v>6840</v>
      </c>
      <c r="P66" s="24">
        <v>5300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1000</v>
      </c>
      <c r="Z66" s="24">
        <f>SUM(J66:Y66)</f>
        <v>44140</v>
      </c>
      <c r="AA66" s="24">
        <v>0</v>
      </c>
      <c r="AB66" s="20">
        <f>Z66-AA66</f>
        <v>44140</v>
      </c>
      <c r="AC66" s="24" t="str">
        <f>IF(AND($T66=6000, ($T66+$W66-$AB66)&gt;=6000),T66,"")</f>
        <v/>
      </c>
      <c r="AD66" s="24" t="str">
        <f>IF(AND($T66=8000, ($T66+$W66-$AB66)&gt;=8000),T66,"")</f>
        <v/>
      </c>
      <c r="AE66" s="24" t="str">
        <f>IF(($T66+$W66-$AB66)&gt;=$T66+8000,W66,"")</f>
        <v/>
      </c>
    </row>
    <row r="67" spans="1:31" x14ac:dyDescent="0.25">
      <c r="A67" s="22" t="s">
        <v>135</v>
      </c>
      <c r="B67" s="22" t="s">
        <v>218</v>
      </c>
      <c r="C67" s="22" t="s">
        <v>49</v>
      </c>
      <c r="D67" s="23">
        <v>0.25</v>
      </c>
      <c r="E67" s="24">
        <v>0</v>
      </c>
      <c r="F67" s="24">
        <v>26000</v>
      </c>
      <c r="G67" s="24">
        <v>4000</v>
      </c>
      <c r="H67" s="24">
        <v>1000</v>
      </c>
      <c r="I67" s="24">
        <v>0</v>
      </c>
      <c r="J67" s="24">
        <f>(1-$D67)*E67</f>
        <v>0</v>
      </c>
      <c r="K67" s="24">
        <f>(1-$D67)*F67</f>
        <v>19500</v>
      </c>
      <c r="L67" s="24">
        <f>G67</f>
        <v>4000</v>
      </c>
      <c r="M67" s="24">
        <f>(1-$D67)*H67</f>
        <v>750</v>
      </c>
      <c r="N67" s="24">
        <f>(1-$D67)*I67</f>
        <v>0</v>
      </c>
      <c r="O67" s="24">
        <v>6840</v>
      </c>
      <c r="P67" s="24">
        <v>5300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f>SUM(J67:Y67)</f>
        <v>36390</v>
      </c>
      <c r="AA67" s="24">
        <v>0</v>
      </c>
      <c r="AB67" s="20">
        <f>Z67-AA67</f>
        <v>36390</v>
      </c>
      <c r="AC67" s="24" t="str">
        <f>IF(AND($T67=6000, ($T67+$W67-$AB67)&gt;=6000),T67,"")</f>
        <v/>
      </c>
      <c r="AD67" s="24" t="str">
        <f>IF(AND($T67=8000, ($T67+$W67-$AB67)&gt;=8000),T67,"")</f>
        <v/>
      </c>
      <c r="AE67" s="24" t="str">
        <f>IF(($T67+$W67-$AB67)&gt;=$T67+8000,W67,"")</f>
        <v/>
      </c>
    </row>
    <row r="68" spans="1:31" x14ac:dyDescent="0.25">
      <c r="A68" s="22" t="s">
        <v>28</v>
      </c>
      <c r="B68" s="22" t="s">
        <v>233</v>
      </c>
      <c r="C68" s="22" t="s">
        <v>30</v>
      </c>
      <c r="D68" s="23">
        <v>0.25</v>
      </c>
      <c r="E68" s="24">
        <v>0</v>
      </c>
      <c r="F68" s="24">
        <v>26000</v>
      </c>
      <c r="G68" s="24">
        <v>4000</v>
      </c>
      <c r="H68" s="24">
        <v>1000</v>
      </c>
      <c r="I68" s="24">
        <v>0</v>
      </c>
      <c r="J68" s="24">
        <f>(1-$D68)*E68</f>
        <v>0</v>
      </c>
      <c r="K68" s="24">
        <f>(1-$D68)*F68</f>
        <v>19500</v>
      </c>
      <c r="L68" s="24">
        <f>G68</f>
        <v>4000</v>
      </c>
      <c r="M68" s="24">
        <f>(1-$D68)*H68</f>
        <v>750</v>
      </c>
      <c r="N68" s="24">
        <f>(1-$D68)*I68</f>
        <v>0</v>
      </c>
      <c r="O68" s="24">
        <v>12480</v>
      </c>
      <c r="P68" s="24">
        <v>7550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>SUM(J68:Y68)</f>
        <v>44280</v>
      </c>
      <c r="AA68" s="24">
        <v>0</v>
      </c>
      <c r="AB68" s="20">
        <f>Z68-AA68</f>
        <v>44280</v>
      </c>
      <c r="AC68" s="24" t="str">
        <f>IF(AND($T68=6000, ($T68+$W68-$AB68)&gt;=6000),T68,"")</f>
        <v/>
      </c>
      <c r="AD68" s="24" t="str">
        <f>IF(AND($T68=8000, ($T68+$W68-$AB68)&gt;=8000),T68,"")</f>
        <v/>
      </c>
      <c r="AE68" s="24" t="str">
        <f>IF(($T68+$W68-$AB68)&gt;=$T68+8000,W68,"")</f>
        <v/>
      </c>
    </row>
    <row r="69" spans="1:31" x14ac:dyDescent="0.25">
      <c r="A69" s="22" t="s">
        <v>182</v>
      </c>
      <c r="B69" s="22" t="s">
        <v>183</v>
      </c>
      <c r="C69" s="22" t="s">
        <v>30</v>
      </c>
      <c r="D69" s="23">
        <v>0.25</v>
      </c>
      <c r="E69" s="24">
        <v>0</v>
      </c>
      <c r="F69" s="24">
        <v>26000</v>
      </c>
      <c r="G69" s="24">
        <v>4000</v>
      </c>
      <c r="H69" s="24">
        <v>1000</v>
      </c>
      <c r="I69" s="24">
        <v>0</v>
      </c>
      <c r="J69" s="24">
        <f>(1-$D69)*E69</f>
        <v>0</v>
      </c>
      <c r="K69" s="24">
        <f>(1-$D69)*F69</f>
        <v>19500</v>
      </c>
      <c r="L69" s="24">
        <f>G69</f>
        <v>4000</v>
      </c>
      <c r="M69" s="24">
        <f>(1-$D69)*H69</f>
        <v>750</v>
      </c>
      <c r="N69" s="24">
        <f>(1-$D69)*I69</f>
        <v>0</v>
      </c>
      <c r="O69" s="24">
        <v>12480</v>
      </c>
      <c r="P69" s="24">
        <v>7550</v>
      </c>
      <c r="Q69" s="24">
        <v>0</v>
      </c>
      <c r="R69" s="24">
        <v>0</v>
      </c>
      <c r="S69" s="24">
        <v>0</v>
      </c>
      <c r="T69" s="24">
        <v>6000</v>
      </c>
      <c r="U69" s="24">
        <v>0</v>
      </c>
      <c r="V69" s="24">
        <v>0</v>
      </c>
      <c r="W69" s="24">
        <v>0</v>
      </c>
      <c r="X69" s="24">
        <v>0</v>
      </c>
      <c r="Y69" s="24">
        <v>-90</v>
      </c>
      <c r="Z69" s="24">
        <f>SUM(J69:Y69)</f>
        <v>50190</v>
      </c>
      <c r="AA69" s="24">
        <v>0</v>
      </c>
      <c r="AB69" s="20">
        <f>Z69-AA69</f>
        <v>50190</v>
      </c>
      <c r="AC69" s="24" t="str">
        <f>IF(AND($T69=6000, ($T69+$W69-$AB69)&gt;=6000),T69,"")</f>
        <v/>
      </c>
      <c r="AD69" s="24" t="str">
        <f>IF(AND($T69=8000, ($T69+$W69-$AB69)&gt;=8000),T69,"")</f>
        <v/>
      </c>
      <c r="AE69" s="24" t="str">
        <f>IF(($T69+$W69-$AB69)&gt;=$T69+8000,W69,"")</f>
        <v/>
      </c>
    </row>
    <row r="70" spans="1:31" x14ac:dyDescent="0.25">
      <c r="A70" s="22" t="s">
        <v>182</v>
      </c>
      <c r="B70" s="22" t="s">
        <v>208</v>
      </c>
      <c r="C70" s="22" t="s">
        <v>30</v>
      </c>
      <c r="D70" s="23">
        <v>0.25</v>
      </c>
      <c r="E70" s="24">
        <v>0</v>
      </c>
      <c r="F70" s="24">
        <v>26000</v>
      </c>
      <c r="G70" s="24">
        <v>4000</v>
      </c>
      <c r="H70" s="24">
        <v>1000</v>
      </c>
      <c r="I70" s="24">
        <v>0</v>
      </c>
      <c r="J70" s="24">
        <f>(1-$D70)*E70</f>
        <v>0</v>
      </c>
      <c r="K70" s="24">
        <f>(1-$D70)*F70</f>
        <v>19500</v>
      </c>
      <c r="L70" s="24">
        <f>G70</f>
        <v>4000</v>
      </c>
      <c r="M70" s="24">
        <f>(1-$D70)*H70</f>
        <v>750</v>
      </c>
      <c r="N70" s="24">
        <f>(1-$D70)*I70</f>
        <v>0</v>
      </c>
      <c r="O70" s="24">
        <v>12480</v>
      </c>
      <c r="P70" s="24">
        <v>7550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>SUM(J70:Y70)</f>
        <v>44280</v>
      </c>
      <c r="AA70" s="24">
        <v>0</v>
      </c>
      <c r="AB70" s="20">
        <f>Z70-AA70</f>
        <v>44280</v>
      </c>
      <c r="AC70" s="24" t="str">
        <f>IF(AND($T70=6000, ($T70+$W70-$AB70)&gt;=6000),T70,"")</f>
        <v/>
      </c>
      <c r="AD70" s="24" t="str">
        <f>IF(AND($T70=8000, ($T70+$W70-$AB70)&gt;=8000),T70,"")</f>
        <v/>
      </c>
      <c r="AE70" s="24" t="str">
        <f>IF(($T70+$W70-$AB70)&gt;=$T70+8000,W70,"")</f>
        <v/>
      </c>
    </row>
    <row r="71" spans="1:31" x14ac:dyDescent="0.25">
      <c r="A71" s="22" t="s">
        <v>42</v>
      </c>
      <c r="B71" s="22" t="s">
        <v>141</v>
      </c>
      <c r="C71" s="22" t="s">
        <v>30</v>
      </c>
      <c r="D71" s="23">
        <v>0.25</v>
      </c>
      <c r="E71" s="24">
        <v>0</v>
      </c>
      <c r="F71" s="24">
        <v>26000</v>
      </c>
      <c r="G71" s="24">
        <v>4000</v>
      </c>
      <c r="H71" s="24">
        <v>1000</v>
      </c>
      <c r="I71" s="24">
        <v>0</v>
      </c>
      <c r="J71" s="24">
        <f>(1-$D71)*E71</f>
        <v>0</v>
      </c>
      <c r="K71" s="24">
        <f>(1-$D71)*F71</f>
        <v>19500</v>
      </c>
      <c r="L71" s="24">
        <f>G71</f>
        <v>4000</v>
      </c>
      <c r="M71" s="24">
        <f>(1-$D71)*H71</f>
        <v>750</v>
      </c>
      <c r="N71" s="24">
        <f>(1-$D71)*I71</f>
        <v>0</v>
      </c>
      <c r="O71" s="24">
        <v>12480</v>
      </c>
      <c r="P71" s="24">
        <v>7550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>SUM(J71:Y71)</f>
        <v>44280</v>
      </c>
      <c r="AA71" s="24">
        <v>0</v>
      </c>
      <c r="AB71" s="20">
        <f>Z71-AA71</f>
        <v>44280</v>
      </c>
      <c r="AC71" s="24" t="str">
        <f>IF(AND($T71=6000, ($T71+$W71-$AB71)&gt;=6000),T71,"")</f>
        <v/>
      </c>
      <c r="AD71" s="24" t="str">
        <f>IF(AND($T71=8000, ($T71+$W71-$AB71)&gt;=8000),T71,"")</f>
        <v/>
      </c>
      <c r="AE71" s="24" t="str">
        <f>IF(($T71+$W71-$AB71)&gt;=$T71+8000,W71,"")</f>
        <v/>
      </c>
    </row>
    <row r="72" spans="1:31" x14ac:dyDescent="0.25">
      <c r="A72" s="22" t="s">
        <v>57</v>
      </c>
      <c r="B72" s="22" t="s">
        <v>142</v>
      </c>
      <c r="C72" s="22" t="s">
        <v>30</v>
      </c>
      <c r="D72" s="23">
        <v>0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>(1-$D72)*E72</f>
        <v>0</v>
      </c>
      <c r="K72" s="24">
        <f>(1-$D72)*F72</f>
        <v>26000</v>
      </c>
      <c r="L72" s="24">
        <f>G72</f>
        <v>4000</v>
      </c>
      <c r="M72" s="24">
        <f>(1-$D72)*H72</f>
        <v>1000</v>
      </c>
      <c r="N72" s="24">
        <f>(1-$D72)*I72</f>
        <v>0</v>
      </c>
      <c r="O72" s="24">
        <v>12480</v>
      </c>
      <c r="P72" s="24">
        <v>7550</v>
      </c>
      <c r="Q72" s="24">
        <v>0</v>
      </c>
      <c r="R72" s="24">
        <v>0</v>
      </c>
      <c r="S72" s="24">
        <v>0</v>
      </c>
      <c r="T72" s="24">
        <v>6000</v>
      </c>
      <c r="U72" s="24">
        <v>0</v>
      </c>
      <c r="V72" s="24">
        <v>0</v>
      </c>
      <c r="W72" s="24">
        <v>0</v>
      </c>
      <c r="X72" s="24">
        <v>0</v>
      </c>
      <c r="Y72" s="24">
        <v>-400</v>
      </c>
      <c r="Z72" s="24">
        <f>SUM(J72:Y72)</f>
        <v>56630</v>
      </c>
      <c r="AA72" s="24">
        <v>0</v>
      </c>
      <c r="AB72" s="20">
        <f>Z72-AA72</f>
        <v>56630</v>
      </c>
      <c r="AC72" s="24" t="str">
        <f>IF(AND($T72=6000, ($T72+$W72-$AB72)&gt;=6000),T72,"")</f>
        <v/>
      </c>
      <c r="AD72" s="24" t="str">
        <f>IF(AND($T72=8000, ($T72+$W72-$AB72)&gt;=8000),T72,"")</f>
        <v/>
      </c>
      <c r="AE72" s="24" t="str">
        <f>IF(($T72+$W72-$AB72)&gt;=$T72+8000,W72,"")</f>
        <v/>
      </c>
    </row>
    <row r="73" spans="1:31" x14ac:dyDescent="0.25">
      <c r="A73" s="22" t="s">
        <v>38</v>
      </c>
      <c r="B73" s="22" t="s">
        <v>202</v>
      </c>
      <c r="C73" s="22" t="s">
        <v>30</v>
      </c>
      <c r="D73" s="23">
        <v>0</v>
      </c>
      <c r="E73" s="24">
        <v>0</v>
      </c>
      <c r="F73" s="24">
        <v>26000</v>
      </c>
      <c r="G73" s="24">
        <v>4000</v>
      </c>
      <c r="H73" s="24">
        <v>1000</v>
      </c>
      <c r="I73" s="24">
        <v>0</v>
      </c>
      <c r="J73" s="24">
        <f>(1-$D73)*E73</f>
        <v>0</v>
      </c>
      <c r="K73" s="24">
        <f>(1-$D73)*F73</f>
        <v>26000</v>
      </c>
      <c r="L73" s="24">
        <f>G73</f>
        <v>4000</v>
      </c>
      <c r="M73" s="24">
        <f>(1-$D73)*H73</f>
        <v>1000</v>
      </c>
      <c r="N73" s="24">
        <f>(1-$D73)*I73</f>
        <v>0</v>
      </c>
      <c r="O73" s="24">
        <v>12480</v>
      </c>
      <c r="P73" s="24">
        <v>7550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11000</v>
      </c>
      <c r="Z73" s="24">
        <f>SUM(J73:Y73)</f>
        <v>62030</v>
      </c>
      <c r="AA73" s="24">
        <v>0</v>
      </c>
      <c r="AB73" s="20">
        <f>Z73-AA73</f>
        <v>62030</v>
      </c>
      <c r="AC73" s="24" t="str">
        <f>IF(AND($T73=6000, ($T73+$W73-$AB73)&gt;=6000),T73,"")</f>
        <v/>
      </c>
      <c r="AD73" s="24" t="str">
        <f>IF(AND($T73=8000, ($T73+$W73-$AB73)&gt;=8000),T73,"")</f>
        <v/>
      </c>
      <c r="AE73" s="24" t="str">
        <f>IF(($T73+$W73-$AB73)&gt;=$T73+8000,W73,"")</f>
        <v/>
      </c>
    </row>
    <row r="74" spans="1:31" x14ac:dyDescent="0.25">
      <c r="A74" s="22" t="s">
        <v>153</v>
      </c>
      <c r="B74" s="22" t="s">
        <v>154</v>
      </c>
      <c r="C74" s="22" t="s">
        <v>30</v>
      </c>
      <c r="D74" s="23">
        <v>0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>(1-$D74)*E74</f>
        <v>0</v>
      </c>
      <c r="K74" s="24">
        <f>(1-$D74)*F74</f>
        <v>26000</v>
      </c>
      <c r="L74" s="24">
        <f>G74</f>
        <v>4000</v>
      </c>
      <c r="M74" s="24">
        <f>(1-$D74)*H74</f>
        <v>1000</v>
      </c>
      <c r="N74" s="24">
        <f>(1-$D74)*I74</f>
        <v>0</v>
      </c>
      <c r="O74" s="24">
        <v>12480</v>
      </c>
      <c r="P74" s="24">
        <v>7550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>SUM(J74:Y74)</f>
        <v>51030</v>
      </c>
      <c r="AA74" s="24">
        <v>0</v>
      </c>
      <c r="AB74" s="20">
        <f>Z74-AA74</f>
        <v>51030</v>
      </c>
      <c r="AC74" s="24" t="str">
        <f>IF(AND($T74=6000, ($T74+$W74-$AB74)&gt;=6000),T74,"")</f>
        <v/>
      </c>
      <c r="AD74" s="24" t="str">
        <f>IF(AND($T74=8000, ($T74+$W74-$AB74)&gt;=8000),T74,"")</f>
        <v/>
      </c>
      <c r="AE74" s="24" t="str">
        <f>IF(($T74+$W74-$AB74)&gt;=$T74+8000,W74,"")</f>
        <v/>
      </c>
    </row>
    <row r="75" spans="1:31" x14ac:dyDescent="0.25">
      <c r="A75" s="22" t="s">
        <v>109</v>
      </c>
      <c r="B75" s="22" t="s">
        <v>164</v>
      </c>
      <c r="C75" s="22" t="s">
        <v>30</v>
      </c>
      <c r="D75" s="23">
        <v>0.25</v>
      </c>
      <c r="E75" s="24">
        <v>0</v>
      </c>
      <c r="F75" s="24">
        <v>26000</v>
      </c>
      <c r="G75" s="24">
        <v>4000</v>
      </c>
      <c r="H75" s="24">
        <v>1000</v>
      </c>
      <c r="I75" s="24">
        <v>0</v>
      </c>
      <c r="J75" s="24">
        <f>(1-$D75)*E75</f>
        <v>0</v>
      </c>
      <c r="K75" s="24">
        <f>(1-$D75)*F75</f>
        <v>19500</v>
      </c>
      <c r="L75" s="24">
        <f>G75</f>
        <v>4000</v>
      </c>
      <c r="M75" s="24">
        <f>(1-$D75)*H75</f>
        <v>750</v>
      </c>
      <c r="N75" s="24">
        <f>(1-$D75)*I75</f>
        <v>0</v>
      </c>
      <c r="O75" s="24">
        <v>12480</v>
      </c>
      <c r="P75" s="24">
        <v>7550</v>
      </c>
      <c r="Q75" s="24">
        <v>0</v>
      </c>
      <c r="R75" s="24">
        <v>0</v>
      </c>
      <c r="S75" s="24">
        <v>0</v>
      </c>
      <c r="T75" s="24">
        <v>6000</v>
      </c>
      <c r="U75" s="24">
        <v>0</v>
      </c>
      <c r="V75" s="24">
        <v>0</v>
      </c>
      <c r="W75" s="24">
        <v>0</v>
      </c>
      <c r="X75" s="24">
        <v>0</v>
      </c>
      <c r="Y75" s="24">
        <v>65</v>
      </c>
      <c r="Z75" s="24">
        <f>SUM(J75:Y75)</f>
        <v>50345</v>
      </c>
      <c r="AA75" s="24">
        <v>0</v>
      </c>
      <c r="AB75" s="20">
        <f>Z75-AA75</f>
        <v>50345</v>
      </c>
      <c r="AC75" s="24" t="str">
        <f>IF(AND($T75=6000, ($T75+$W75-$AB75)&gt;=6000),T75,"")</f>
        <v/>
      </c>
      <c r="AD75" s="24" t="str">
        <f>IF(AND($T75=8000, ($T75+$W75-$AB75)&gt;=8000),T75,"")</f>
        <v/>
      </c>
      <c r="AE75" s="24" t="str">
        <f>IF(($T75+$W75-$AB75)&gt;=$T75+8000,W75,"")</f>
        <v/>
      </c>
    </row>
    <row r="76" spans="1:31" x14ac:dyDescent="0.25">
      <c r="A76" s="22" t="s">
        <v>184</v>
      </c>
      <c r="B76" s="22" t="s">
        <v>189</v>
      </c>
      <c r="C76" s="22" t="s">
        <v>30</v>
      </c>
      <c r="D76" s="23">
        <v>0.25</v>
      </c>
      <c r="E76" s="24">
        <v>0</v>
      </c>
      <c r="F76" s="24">
        <v>26000</v>
      </c>
      <c r="G76" s="24">
        <v>4000</v>
      </c>
      <c r="H76" s="24">
        <v>1000</v>
      </c>
      <c r="I76" s="24">
        <v>0</v>
      </c>
      <c r="J76" s="24">
        <f>(1-$D76)*E76</f>
        <v>0</v>
      </c>
      <c r="K76" s="24">
        <f>(1-$D76)*F76</f>
        <v>19500</v>
      </c>
      <c r="L76" s="24">
        <f>G76</f>
        <v>4000</v>
      </c>
      <c r="M76" s="24">
        <f>(1-$D76)*H76</f>
        <v>750</v>
      </c>
      <c r="N76" s="24">
        <f>(1-$D76)*I76</f>
        <v>0</v>
      </c>
      <c r="O76" s="24">
        <v>12480</v>
      </c>
      <c r="P76" s="24">
        <v>7550</v>
      </c>
      <c r="Q76" s="24">
        <v>0</v>
      </c>
      <c r="R76" s="24">
        <v>0</v>
      </c>
      <c r="S76" s="24">
        <v>0</v>
      </c>
      <c r="T76" s="24">
        <v>6000</v>
      </c>
      <c r="U76" s="24">
        <v>0</v>
      </c>
      <c r="V76" s="24">
        <v>0</v>
      </c>
      <c r="W76" s="24">
        <v>0</v>
      </c>
      <c r="X76" s="24">
        <v>0</v>
      </c>
      <c r="Y76" s="24">
        <v>1250</v>
      </c>
      <c r="Z76" s="24">
        <f>SUM(J76:Y76)</f>
        <v>51530</v>
      </c>
      <c r="AA76" s="24">
        <v>0</v>
      </c>
      <c r="AB76" s="20">
        <f>Z76-AA76</f>
        <v>51530</v>
      </c>
      <c r="AC76" s="24" t="str">
        <f>IF(AND($T76=6000, ($T76+$W76-$AB76)&gt;=6000),T76,"")</f>
        <v/>
      </c>
      <c r="AD76" s="24" t="str">
        <f>IF(AND($T76=8000, ($T76+$W76-$AB76)&gt;=8000),T76,"")</f>
        <v/>
      </c>
      <c r="AE76" s="24" t="str">
        <f>IF(($T76+$W76-$AB76)&gt;=$T76+8000,W76,"")</f>
        <v/>
      </c>
    </row>
    <row r="77" spans="1:31" x14ac:dyDescent="0.25">
      <c r="A77" s="22" t="s">
        <v>135</v>
      </c>
      <c r="B77" s="22" t="s">
        <v>136</v>
      </c>
      <c r="C77" s="22" t="s">
        <v>30</v>
      </c>
      <c r="D77" s="23">
        <v>0.25</v>
      </c>
      <c r="E77" s="24">
        <v>0</v>
      </c>
      <c r="F77" s="24">
        <v>26000</v>
      </c>
      <c r="G77" s="24">
        <v>4000</v>
      </c>
      <c r="H77" s="24">
        <v>1000</v>
      </c>
      <c r="I77" s="24">
        <v>0</v>
      </c>
      <c r="J77" s="24">
        <f>(1-$D77)*E77</f>
        <v>0</v>
      </c>
      <c r="K77" s="24">
        <f>(1-$D77)*F77</f>
        <v>19500</v>
      </c>
      <c r="L77" s="24">
        <f>G77</f>
        <v>4000</v>
      </c>
      <c r="M77" s="24">
        <f>(1-$D77)*H77</f>
        <v>750</v>
      </c>
      <c r="N77" s="24">
        <f>(1-$D77)*I77</f>
        <v>0</v>
      </c>
      <c r="O77" s="24">
        <v>12480</v>
      </c>
      <c r="P77" s="24">
        <v>7550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0</v>
      </c>
      <c r="Z77" s="24">
        <f>SUM(J77:Y77)</f>
        <v>44280</v>
      </c>
      <c r="AA77" s="24">
        <v>0</v>
      </c>
      <c r="AB77" s="20">
        <f>Z77-AA77</f>
        <v>44280</v>
      </c>
      <c r="AC77" s="24" t="str">
        <f>IF(AND($T77=6000, ($T77+$W77-$AB77)&gt;=6000),T77,"")</f>
        <v/>
      </c>
      <c r="AD77" s="24" t="str">
        <f>IF(AND($T77=8000, ($T77+$W77-$AB77)&gt;=8000),T77,"")</f>
        <v/>
      </c>
      <c r="AE77" s="24" t="str">
        <f>IF(($T77+$W77-$AB77)&gt;=$T77+8000,W77,"")</f>
        <v/>
      </c>
    </row>
    <row r="78" spans="1:31" x14ac:dyDescent="0.25">
      <c r="A78" s="22" t="s">
        <v>42</v>
      </c>
      <c r="B78" s="22" t="s">
        <v>43</v>
      </c>
      <c r="C78" s="22" t="s">
        <v>33</v>
      </c>
      <c r="D78" s="23">
        <v>0.25</v>
      </c>
      <c r="E78" s="24">
        <v>0</v>
      </c>
      <c r="F78" s="24">
        <v>28000</v>
      </c>
      <c r="G78" s="24">
        <v>4000</v>
      </c>
      <c r="H78" s="24">
        <v>2500</v>
      </c>
      <c r="I78" s="24">
        <v>5000</v>
      </c>
      <c r="J78" s="24">
        <f>(1-$D78)*E78</f>
        <v>0</v>
      </c>
      <c r="K78" s="24">
        <f>(1-$D78)*F78</f>
        <v>21000</v>
      </c>
      <c r="L78" s="24">
        <f>G78</f>
        <v>4000</v>
      </c>
      <c r="M78" s="24">
        <f>(1-$D78)*H78</f>
        <v>1875</v>
      </c>
      <c r="N78" s="24">
        <f>(1-$D78)*I78</f>
        <v>3750</v>
      </c>
      <c r="O78" s="24">
        <v>25550</v>
      </c>
      <c r="P78" s="24">
        <v>11330</v>
      </c>
      <c r="Q78" s="24">
        <v>0</v>
      </c>
      <c r="R78" s="24">
        <v>0</v>
      </c>
      <c r="S78" s="24">
        <v>0</v>
      </c>
      <c r="T78" s="24">
        <v>6000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>SUM(J78:Y78)</f>
        <v>73505</v>
      </c>
      <c r="AA78" s="24">
        <v>0</v>
      </c>
      <c r="AB78" s="20">
        <f>Z78-AA78</f>
        <v>73505</v>
      </c>
      <c r="AC78" s="24" t="str">
        <f>IF(AND($T78=6000, ($T78+$W78-$AB78)&gt;=6000),T78,"")</f>
        <v/>
      </c>
      <c r="AD78" s="24" t="str">
        <f>IF(AND($T78=8000, ($T78+$W78-$AB78)&gt;=8000),T78,"")</f>
        <v/>
      </c>
      <c r="AE78" s="24" t="str">
        <f>IF(($T78+$W78-$AB78)&gt;=$T78+8000,W78,"")</f>
        <v/>
      </c>
    </row>
    <row r="79" spans="1:31" x14ac:dyDescent="0.25">
      <c r="A79" s="22" t="s">
        <v>78</v>
      </c>
      <c r="B79" s="22" t="s">
        <v>79</v>
      </c>
      <c r="C79" s="22" t="s">
        <v>33</v>
      </c>
      <c r="D79" s="23">
        <v>0</v>
      </c>
      <c r="E79" s="24">
        <v>0</v>
      </c>
      <c r="F79" s="24">
        <v>28000</v>
      </c>
      <c r="G79" s="24">
        <v>4000</v>
      </c>
      <c r="H79" s="24">
        <v>2500</v>
      </c>
      <c r="I79" s="24">
        <v>5000</v>
      </c>
      <c r="J79" s="24">
        <f>(1-$D79)*E79</f>
        <v>0</v>
      </c>
      <c r="K79" s="24">
        <f>(1-$D79)*F79</f>
        <v>28000</v>
      </c>
      <c r="L79" s="24">
        <f>G79</f>
        <v>4000</v>
      </c>
      <c r="M79" s="24">
        <f>(1-$D79)*H79</f>
        <v>2500</v>
      </c>
      <c r="N79" s="24">
        <f>(1-$D79)*I79</f>
        <v>5000</v>
      </c>
      <c r="O79" s="24">
        <v>25550</v>
      </c>
      <c r="P79" s="24">
        <v>11330</v>
      </c>
      <c r="Q79" s="24">
        <v>0</v>
      </c>
      <c r="R79" s="24">
        <v>0</v>
      </c>
      <c r="S79" s="24">
        <v>0</v>
      </c>
      <c r="T79" s="24">
        <v>6000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f>SUM(J79:Y79)</f>
        <v>82380</v>
      </c>
      <c r="AA79" s="24">
        <v>0</v>
      </c>
      <c r="AB79" s="20">
        <f>Z79-AA79</f>
        <v>82380</v>
      </c>
      <c r="AC79" s="24" t="str">
        <f>IF(AND($T79=6000, ($T79+$W79-$AB79)&gt;=6000),T79,"")</f>
        <v/>
      </c>
      <c r="AD79" s="24" t="str">
        <f>IF(AND($T79=8000, ($T79+$W79-$AB79)&gt;=8000),T79,"")</f>
        <v/>
      </c>
      <c r="AE79" s="24" t="str">
        <f>IF(($T79+$W79-$AB79)&gt;=$T79+8000,W79,"")</f>
        <v/>
      </c>
    </row>
    <row r="80" spans="1:31" x14ac:dyDescent="0.25">
      <c r="A80" s="22" t="s">
        <v>180</v>
      </c>
      <c r="B80" s="22" t="s">
        <v>181</v>
      </c>
      <c r="C80" s="22" t="s">
        <v>33</v>
      </c>
      <c r="D80" s="23">
        <v>0</v>
      </c>
      <c r="E80" s="24">
        <v>0</v>
      </c>
      <c r="F80" s="24">
        <v>28000</v>
      </c>
      <c r="G80" s="24">
        <v>4000</v>
      </c>
      <c r="H80" s="24">
        <v>2500</v>
      </c>
      <c r="I80" s="24">
        <v>5000</v>
      </c>
      <c r="J80" s="24">
        <f>(1-$D80)*E80</f>
        <v>0</v>
      </c>
      <c r="K80" s="24">
        <f>(1-$D80)*F80</f>
        <v>28000</v>
      </c>
      <c r="L80" s="24">
        <f>G80</f>
        <v>4000</v>
      </c>
      <c r="M80" s="24">
        <f>(1-$D80)*H80</f>
        <v>2500</v>
      </c>
      <c r="N80" s="24">
        <f>(1-$D80)*I80</f>
        <v>5000</v>
      </c>
      <c r="O80" s="24">
        <v>25550</v>
      </c>
      <c r="P80" s="24">
        <v>11330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f>SUM(J80:Y80)</f>
        <v>76380</v>
      </c>
      <c r="AA80" s="24">
        <v>0</v>
      </c>
      <c r="AB80" s="20">
        <f>Z80-AA80</f>
        <v>76380</v>
      </c>
      <c r="AC80" s="24" t="str">
        <f>IF(AND($T80=6000, ($T80+$W80-$AB80)&gt;=6000),T80,"")</f>
        <v/>
      </c>
      <c r="AD80" s="24" t="str">
        <f>IF(AND($T80=8000, ($T80+$W80-$AB80)&gt;=8000),T80,"")</f>
        <v/>
      </c>
      <c r="AE80" s="24" t="str">
        <f>IF(($T80+$W80-$AB80)&gt;=$T80+8000,W80,"")</f>
        <v/>
      </c>
    </row>
    <row r="81" spans="1:31" x14ac:dyDescent="0.25">
      <c r="A81" s="22" t="s">
        <v>81</v>
      </c>
      <c r="B81" s="22" t="s">
        <v>82</v>
      </c>
      <c r="C81" s="22" t="s">
        <v>33</v>
      </c>
      <c r="D81" s="23">
        <v>0</v>
      </c>
      <c r="E81" s="24">
        <v>0</v>
      </c>
      <c r="F81" s="24">
        <v>28000</v>
      </c>
      <c r="G81" s="24">
        <v>4000</v>
      </c>
      <c r="H81" s="24">
        <v>2500</v>
      </c>
      <c r="I81" s="24">
        <v>5000</v>
      </c>
      <c r="J81" s="24">
        <f>(1-$D81)*E81</f>
        <v>0</v>
      </c>
      <c r="K81" s="24">
        <f>(1-$D81)*F81</f>
        <v>28000</v>
      </c>
      <c r="L81" s="24">
        <f>G81</f>
        <v>4000</v>
      </c>
      <c r="M81" s="24">
        <f>(1-$D81)*H81</f>
        <v>2500</v>
      </c>
      <c r="N81" s="24">
        <f>(1-$D81)*I81</f>
        <v>5000</v>
      </c>
      <c r="O81" s="24">
        <v>25550</v>
      </c>
      <c r="P81" s="24">
        <v>11330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550</v>
      </c>
      <c r="Z81" s="24">
        <f>SUM(J81:Y81)</f>
        <v>76930</v>
      </c>
      <c r="AA81" s="24">
        <v>0</v>
      </c>
      <c r="AB81" s="20">
        <f>Z81-AA81</f>
        <v>76930</v>
      </c>
      <c r="AC81" s="24" t="str">
        <f>IF(AND($T81=6000, ($T81+$W81-$AB81)&gt;=6000),T81,"")</f>
        <v/>
      </c>
      <c r="AD81" s="24" t="str">
        <f>IF(AND($T81=8000, ($T81+$W81-$AB81)&gt;=8000),T81,"")</f>
        <v/>
      </c>
      <c r="AE81" s="24" t="str">
        <f>IF(($T81+$W81-$AB81)&gt;=$T81+8000,W81,"")</f>
        <v/>
      </c>
    </row>
    <row r="82" spans="1:31" x14ac:dyDescent="0.25">
      <c r="A82" s="22" t="s">
        <v>98</v>
      </c>
      <c r="B82" s="22" t="s">
        <v>99</v>
      </c>
      <c r="C82" s="22" t="s">
        <v>33</v>
      </c>
      <c r="D82" s="23">
        <v>0.25</v>
      </c>
      <c r="E82" s="24">
        <v>0</v>
      </c>
      <c r="F82" s="24">
        <v>28000</v>
      </c>
      <c r="G82" s="24">
        <v>4000</v>
      </c>
      <c r="H82" s="24">
        <v>2500</v>
      </c>
      <c r="I82" s="24">
        <v>5000</v>
      </c>
      <c r="J82" s="24">
        <f>(1-$D82)*E82</f>
        <v>0</v>
      </c>
      <c r="K82" s="24">
        <f>(1-$D82)*F82</f>
        <v>21000</v>
      </c>
      <c r="L82" s="24">
        <f>G82</f>
        <v>4000</v>
      </c>
      <c r="M82" s="24">
        <f>(1-$D82)*H82</f>
        <v>1875</v>
      </c>
      <c r="N82" s="24">
        <f>(1-$D82)*I82</f>
        <v>3750</v>
      </c>
      <c r="O82" s="24">
        <v>25550</v>
      </c>
      <c r="P82" s="24">
        <v>11330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f>SUM(J82:Y82)</f>
        <v>67505</v>
      </c>
      <c r="AA82" s="24">
        <v>0</v>
      </c>
      <c r="AB82" s="20">
        <f>Z82-AA82</f>
        <v>67505</v>
      </c>
      <c r="AC82" s="24" t="str">
        <f>IF(AND($T82=6000, ($T82+$W82-$AB82)&gt;=6000),T82,"")</f>
        <v/>
      </c>
      <c r="AD82" s="24" t="str">
        <f>IF(AND($T82=8000, ($T82+$W82-$AB82)&gt;=8000),T82,"")</f>
        <v/>
      </c>
      <c r="AE82" s="24" t="str">
        <f>IF(($T82+$W82-$AB82)&gt;=$T82+8000,W82,"")</f>
        <v/>
      </c>
    </row>
    <row r="83" spans="1:31" x14ac:dyDescent="0.25">
      <c r="A83" s="22" t="s">
        <v>102</v>
      </c>
      <c r="B83" s="22" t="s">
        <v>103</v>
      </c>
      <c r="C83" s="22" t="s">
        <v>33</v>
      </c>
      <c r="D83" s="23">
        <v>0.25</v>
      </c>
      <c r="E83" s="24">
        <v>0</v>
      </c>
      <c r="F83" s="24">
        <v>28000</v>
      </c>
      <c r="G83" s="24">
        <v>4000</v>
      </c>
      <c r="H83" s="24">
        <v>2500</v>
      </c>
      <c r="I83" s="24">
        <v>5000</v>
      </c>
      <c r="J83" s="24">
        <f>(1-$D83)*E83</f>
        <v>0</v>
      </c>
      <c r="K83" s="24">
        <f>(1-$D83)*F83</f>
        <v>21000</v>
      </c>
      <c r="L83" s="24">
        <f>G83</f>
        <v>4000</v>
      </c>
      <c r="M83" s="24">
        <f>(1-$D83)*H83</f>
        <v>1875</v>
      </c>
      <c r="N83" s="24">
        <f>(1-$D83)*I83</f>
        <v>3750</v>
      </c>
      <c r="O83" s="24">
        <v>25550</v>
      </c>
      <c r="P83" s="24">
        <v>11330</v>
      </c>
      <c r="Q83" s="24">
        <v>0</v>
      </c>
      <c r="R83" s="24">
        <v>0</v>
      </c>
      <c r="S83" s="24">
        <v>0</v>
      </c>
      <c r="T83" s="24">
        <v>6000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>SUM(J83:Y83)</f>
        <v>73505</v>
      </c>
      <c r="AA83" s="24">
        <v>0</v>
      </c>
      <c r="AB83" s="20">
        <f>Z83-AA83</f>
        <v>73505</v>
      </c>
      <c r="AC83" s="24" t="str">
        <f>IF(AND($T83=6000, ($T83+$W83-$AB83)&gt;=6000),T83,"")</f>
        <v/>
      </c>
      <c r="AD83" s="24" t="str">
        <f>IF(AND($T83=8000, ($T83+$W83-$AB83)&gt;=8000),T83,"")</f>
        <v/>
      </c>
      <c r="AE83" s="24" t="str">
        <f>IF(($T83+$W83-$AB83)&gt;=$T83+8000,W83,"")</f>
        <v/>
      </c>
    </row>
    <row r="84" spans="1:31" x14ac:dyDescent="0.25">
      <c r="A84" s="22" t="s">
        <v>106</v>
      </c>
      <c r="B84" s="22" t="s">
        <v>45</v>
      </c>
      <c r="C84" s="22" t="s">
        <v>33</v>
      </c>
      <c r="D84" s="23">
        <v>0</v>
      </c>
      <c r="E84" s="24">
        <v>0</v>
      </c>
      <c r="F84" s="24">
        <v>28000</v>
      </c>
      <c r="G84" s="24">
        <v>4000</v>
      </c>
      <c r="H84" s="24">
        <v>2500</v>
      </c>
      <c r="I84" s="24">
        <v>5000</v>
      </c>
      <c r="J84" s="24">
        <f>(1-$D84)*E84</f>
        <v>0</v>
      </c>
      <c r="K84" s="24">
        <f>(1-$D84)*F84</f>
        <v>28000</v>
      </c>
      <c r="L84" s="24">
        <f>G84</f>
        <v>4000</v>
      </c>
      <c r="M84" s="24">
        <f>(1-$D84)*H84</f>
        <v>2500</v>
      </c>
      <c r="N84" s="24">
        <f>(1-$D84)*I84</f>
        <v>5000</v>
      </c>
      <c r="O84" s="24">
        <v>25550</v>
      </c>
      <c r="P84" s="24">
        <v>11330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f>SUM(J84:Y84)</f>
        <v>76380</v>
      </c>
      <c r="AA84" s="24">
        <v>0</v>
      </c>
      <c r="AB84" s="20">
        <f>Z84-AA84</f>
        <v>76380</v>
      </c>
      <c r="AC84" s="24" t="str">
        <f>IF(AND($T84=6000, ($T84+$W84-$AB84)&gt;=6000),T84,"")</f>
        <v/>
      </c>
      <c r="AD84" s="24" t="str">
        <f>IF(AND($T84=8000, ($T84+$W84-$AB84)&gt;=8000),T84,"")</f>
        <v/>
      </c>
      <c r="AE84" s="24" t="str">
        <f>IF(($T84+$W84-$AB84)&gt;=$T84+8000,W84,"")</f>
        <v/>
      </c>
    </row>
    <row r="85" spans="1:31" x14ac:dyDescent="0.25">
      <c r="A85" s="22" t="s">
        <v>109</v>
      </c>
      <c r="B85" s="22" t="s">
        <v>110</v>
      </c>
      <c r="C85" s="22" t="s">
        <v>33</v>
      </c>
      <c r="D85" s="23">
        <v>0.25</v>
      </c>
      <c r="E85" s="24">
        <v>0</v>
      </c>
      <c r="F85" s="24">
        <v>28000</v>
      </c>
      <c r="G85" s="24">
        <v>4000</v>
      </c>
      <c r="H85" s="24">
        <v>2500</v>
      </c>
      <c r="I85" s="24">
        <v>5000</v>
      </c>
      <c r="J85" s="24">
        <f>(1-$D85)*E85</f>
        <v>0</v>
      </c>
      <c r="K85" s="24">
        <f>(1-$D85)*F85</f>
        <v>21000</v>
      </c>
      <c r="L85" s="24">
        <f>G85</f>
        <v>4000</v>
      </c>
      <c r="M85" s="24">
        <f>(1-$D85)*H85</f>
        <v>1875</v>
      </c>
      <c r="N85" s="24">
        <f>(1-$D85)*I85</f>
        <v>3750</v>
      </c>
      <c r="O85" s="24">
        <v>25550</v>
      </c>
      <c r="P85" s="24">
        <v>11330</v>
      </c>
      <c r="Q85" s="24">
        <v>0</v>
      </c>
      <c r="R85" s="24">
        <v>0</v>
      </c>
      <c r="S85" s="24">
        <v>0</v>
      </c>
      <c r="T85" s="24">
        <v>6000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>SUM(J85:Y85)</f>
        <v>73505</v>
      </c>
      <c r="AA85" s="24">
        <v>0</v>
      </c>
      <c r="AB85" s="20">
        <f>Z85-AA85</f>
        <v>73505</v>
      </c>
      <c r="AC85" s="24" t="str">
        <f>IF(AND($T85=6000, ($T85+$W85-$AB85)&gt;=6000),T85,"")</f>
        <v/>
      </c>
      <c r="AD85" s="24" t="str">
        <f>IF(AND($T85=8000, ($T85+$W85-$AB85)&gt;=8000),T85,"")</f>
        <v/>
      </c>
      <c r="AE85" s="24" t="str">
        <f>IF(($T85+$W85-$AB85)&gt;=$T85+8000,W85,"")</f>
        <v/>
      </c>
    </row>
    <row r="86" spans="1:31" x14ac:dyDescent="0.25">
      <c r="A86" s="22" t="s">
        <v>184</v>
      </c>
      <c r="B86" s="22" t="s">
        <v>185</v>
      </c>
      <c r="C86" s="22" t="s">
        <v>33</v>
      </c>
      <c r="D86" s="23">
        <v>0.25</v>
      </c>
      <c r="E86" s="24">
        <v>0</v>
      </c>
      <c r="F86" s="24">
        <v>28000</v>
      </c>
      <c r="G86" s="24">
        <v>4000</v>
      </c>
      <c r="H86" s="24">
        <v>2500</v>
      </c>
      <c r="I86" s="24">
        <v>5000</v>
      </c>
      <c r="J86" s="24">
        <f>(1-$D86)*E86</f>
        <v>0</v>
      </c>
      <c r="K86" s="24">
        <f>(1-$D86)*F86</f>
        <v>21000</v>
      </c>
      <c r="L86" s="24">
        <f>G86</f>
        <v>4000</v>
      </c>
      <c r="M86" s="24">
        <f>(1-$D86)*H86</f>
        <v>1875</v>
      </c>
      <c r="N86" s="24">
        <f>(1-$D86)*I86</f>
        <v>3750</v>
      </c>
      <c r="O86" s="24">
        <v>25550</v>
      </c>
      <c r="P86" s="24">
        <v>11330</v>
      </c>
      <c r="Q86" s="24">
        <v>0</v>
      </c>
      <c r="R86" s="24">
        <v>0</v>
      </c>
      <c r="S86" s="24">
        <v>0</v>
      </c>
      <c r="T86" s="24">
        <v>6000</v>
      </c>
      <c r="U86" s="24">
        <v>0</v>
      </c>
      <c r="V86" s="24">
        <v>0</v>
      </c>
      <c r="W86" s="24">
        <v>0</v>
      </c>
      <c r="X86" s="24">
        <v>0</v>
      </c>
      <c r="Y86" s="24">
        <v>9500</v>
      </c>
      <c r="Z86" s="24">
        <f>SUM(J86:Y86)</f>
        <v>83005</v>
      </c>
      <c r="AA86" s="24">
        <v>0</v>
      </c>
      <c r="AB86" s="20">
        <f>Z86-AA86</f>
        <v>83005</v>
      </c>
      <c r="AC86" s="24" t="str">
        <f>IF(AND($T86=6000, ($T86+$W86-$AB86)&gt;=6000),T86,"")</f>
        <v/>
      </c>
      <c r="AD86" s="24" t="str">
        <f>IF(AND($T86=8000, ($T86+$W86-$AB86)&gt;=8000),T86,"")</f>
        <v/>
      </c>
      <c r="AE86" s="24" t="str">
        <f>IF(($T86+$W86-$AB86)&gt;=$T86+8000,W86,"")</f>
        <v/>
      </c>
    </row>
    <row r="87" spans="1:31" x14ac:dyDescent="0.25">
      <c r="A87" s="22" t="s">
        <v>236</v>
      </c>
      <c r="B87" s="22" t="s">
        <v>237</v>
      </c>
      <c r="C87" s="22" t="s">
        <v>48</v>
      </c>
      <c r="D87" s="23">
        <v>0.25</v>
      </c>
      <c r="E87" s="24">
        <v>0</v>
      </c>
      <c r="F87" s="24">
        <v>28000</v>
      </c>
      <c r="G87" s="24">
        <v>4000</v>
      </c>
      <c r="H87" s="24">
        <v>0</v>
      </c>
      <c r="I87" s="24">
        <v>5000</v>
      </c>
      <c r="J87" s="24">
        <f>(1-$D87)*E87</f>
        <v>0</v>
      </c>
      <c r="K87" s="24">
        <f>(1-$D87)*F87</f>
        <v>21000</v>
      </c>
      <c r="L87" s="24">
        <f>G87</f>
        <v>4000</v>
      </c>
      <c r="M87" s="24">
        <f>(1-$D87)*H87</f>
        <v>0</v>
      </c>
      <c r="N87" s="24">
        <f>(1-$D87)*I87</f>
        <v>3750</v>
      </c>
      <c r="O87" s="24">
        <v>25730</v>
      </c>
      <c r="P87" s="24">
        <v>11330</v>
      </c>
      <c r="Q87" s="24">
        <v>0</v>
      </c>
      <c r="R87" s="24">
        <v>0</v>
      </c>
      <c r="S87" s="24">
        <v>0</v>
      </c>
      <c r="T87" s="24">
        <v>6000</v>
      </c>
      <c r="U87" s="24">
        <v>0</v>
      </c>
      <c r="V87" s="24">
        <v>0</v>
      </c>
      <c r="W87" s="24">
        <v>0</v>
      </c>
      <c r="X87" s="24">
        <v>0</v>
      </c>
      <c r="Y87" s="24">
        <v>125</v>
      </c>
      <c r="Z87" s="24">
        <f>SUM(J87:Y87)</f>
        <v>71935</v>
      </c>
      <c r="AA87" s="24">
        <v>0</v>
      </c>
      <c r="AB87" s="20">
        <f>Z87-AA87</f>
        <v>71935</v>
      </c>
      <c r="AC87" s="24" t="str">
        <f>IF(AND($T87=6000, ($T87+$W87-$AB87)&gt;=6000),T87,"")</f>
        <v/>
      </c>
      <c r="AD87" s="24" t="str">
        <f>IF(AND($T87=8000, ($T87+$W87-$AB87)&gt;=8000),T87,"")</f>
        <v/>
      </c>
      <c r="AE87" s="24" t="str">
        <f>IF(($T87+$W87-$AB87)&gt;=$T87+8000,W87,"")</f>
        <v/>
      </c>
    </row>
    <row r="88" spans="1:31" x14ac:dyDescent="0.25">
      <c r="A88" s="22" t="s">
        <v>53</v>
      </c>
      <c r="B88" s="22" t="s">
        <v>54</v>
      </c>
      <c r="C88" s="22" t="s">
        <v>48</v>
      </c>
      <c r="D88" s="23">
        <v>0.25</v>
      </c>
      <c r="E88" s="24">
        <v>0</v>
      </c>
      <c r="F88" s="24">
        <v>28000</v>
      </c>
      <c r="G88" s="24">
        <v>4000</v>
      </c>
      <c r="H88" s="24">
        <v>0</v>
      </c>
      <c r="I88" s="24">
        <v>5000</v>
      </c>
      <c r="J88" s="24">
        <f>(1-$D88)*E88</f>
        <v>0</v>
      </c>
      <c r="K88" s="24">
        <f>(1-$D88)*F88</f>
        <v>21000</v>
      </c>
      <c r="L88" s="24">
        <f>G88</f>
        <v>4000</v>
      </c>
      <c r="M88" s="24">
        <f>(1-$D88)*H88</f>
        <v>0</v>
      </c>
      <c r="N88" s="24">
        <f>(1-$D88)*I88</f>
        <v>3750</v>
      </c>
      <c r="O88" s="24">
        <v>25730</v>
      </c>
      <c r="P88" s="24">
        <v>11330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>SUM(J88:Y88)</f>
        <v>65810</v>
      </c>
      <c r="AA88" s="24">
        <v>0</v>
      </c>
      <c r="AB88" s="20">
        <f>Z88-AA88</f>
        <v>65810</v>
      </c>
      <c r="AC88" s="24" t="str">
        <f>IF(AND($T88=6000, ($T88+$W88-$AB88)&gt;=6000),T88,"")</f>
        <v/>
      </c>
      <c r="AD88" s="24" t="str">
        <f>IF(AND($T88=8000, ($T88+$W88-$AB88)&gt;=8000),T88,"")</f>
        <v/>
      </c>
      <c r="AE88" s="24" t="str">
        <f>IF(($T88+$W88-$AB88)&gt;=$T88+8000,W88,"")</f>
        <v/>
      </c>
    </row>
    <row r="89" spans="1:31" x14ac:dyDescent="0.25">
      <c r="A89" s="22" t="s">
        <v>53</v>
      </c>
      <c r="B89" s="22" t="s">
        <v>55</v>
      </c>
      <c r="C89" s="22" t="s">
        <v>48</v>
      </c>
      <c r="D89" s="23">
        <v>0.25</v>
      </c>
      <c r="E89" s="24">
        <v>0</v>
      </c>
      <c r="F89" s="24">
        <v>28000</v>
      </c>
      <c r="G89" s="24">
        <v>4000</v>
      </c>
      <c r="H89" s="24">
        <v>0</v>
      </c>
      <c r="I89" s="24">
        <v>5000</v>
      </c>
      <c r="J89" s="24">
        <f>(1-$D89)*E89</f>
        <v>0</v>
      </c>
      <c r="K89" s="24">
        <f>(1-$D89)*F89</f>
        <v>21000</v>
      </c>
      <c r="L89" s="24">
        <f>G89</f>
        <v>4000</v>
      </c>
      <c r="M89" s="24">
        <f>(1-$D89)*H89</f>
        <v>0</v>
      </c>
      <c r="N89" s="24">
        <f>(1-$D89)*I89</f>
        <v>3750</v>
      </c>
      <c r="O89" s="24">
        <v>25730</v>
      </c>
      <c r="P89" s="24">
        <v>11330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f>SUM(J89:Y89)</f>
        <v>65810</v>
      </c>
      <c r="AA89" s="24">
        <v>0</v>
      </c>
      <c r="AB89" s="20">
        <f>Z89-AA89</f>
        <v>65810</v>
      </c>
      <c r="AC89" s="24" t="str">
        <f>IF(AND($T89=6000, ($T89+$W89-$AB89)&gt;=6000),T89,"")</f>
        <v/>
      </c>
      <c r="AD89" s="24" t="str">
        <f>IF(AND($T89=8000, ($T89+$W89-$AB89)&gt;=8000),T89,"")</f>
        <v/>
      </c>
      <c r="AE89" s="24" t="str">
        <f>IF(($T89+$W89-$AB89)&gt;=$T89+8000,W89,"")</f>
        <v/>
      </c>
    </row>
    <row r="90" spans="1:31" x14ac:dyDescent="0.25">
      <c r="A90" s="22" t="s">
        <v>60</v>
      </c>
      <c r="B90" s="22" t="s">
        <v>61</v>
      </c>
      <c r="C90" s="22" t="s">
        <v>48</v>
      </c>
      <c r="D90" s="23">
        <v>0.25</v>
      </c>
      <c r="E90" s="24">
        <v>0</v>
      </c>
      <c r="F90" s="24">
        <v>28000</v>
      </c>
      <c r="G90" s="24">
        <v>4000</v>
      </c>
      <c r="H90" s="24">
        <v>0</v>
      </c>
      <c r="I90" s="24">
        <v>5000</v>
      </c>
      <c r="J90" s="24">
        <f>(1-$D90)*E90</f>
        <v>0</v>
      </c>
      <c r="K90" s="24">
        <f>(1-$D90)*F90</f>
        <v>21000</v>
      </c>
      <c r="L90" s="24">
        <f>G90</f>
        <v>4000</v>
      </c>
      <c r="M90" s="24">
        <f>(1-$D90)*H90</f>
        <v>0</v>
      </c>
      <c r="N90" s="24">
        <f>(1-$D90)*I90</f>
        <v>3750</v>
      </c>
      <c r="O90" s="24">
        <v>25730</v>
      </c>
      <c r="P90" s="24">
        <v>11330</v>
      </c>
      <c r="Q90" s="24">
        <v>0</v>
      </c>
      <c r="R90" s="24">
        <v>0</v>
      </c>
      <c r="S90" s="24">
        <v>0</v>
      </c>
      <c r="T90" s="24">
        <v>6000</v>
      </c>
      <c r="U90" s="24">
        <v>0</v>
      </c>
      <c r="V90" s="24">
        <v>0</v>
      </c>
      <c r="W90" s="24">
        <v>0</v>
      </c>
      <c r="X90" s="24">
        <v>0</v>
      </c>
      <c r="Y90" s="24">
        <v>250</v>
      </c>
      <c r="Z90" s="24">
        <f>SUM(J90:Y90)</f>
        <v>72060</v>
      </c>
      <c r="AA90" s="24">
        <v>0</v>
      </c>
      <c r="AB90" s="20">
        <f>Z90-AA90</f>
        <v>72060</v>
      </c>
      <c r="AC90" s="24" t="str">
        <f>IF(AND($T90=6000, ($T90+$W90-$AB90)&gt;=6000),T90,"")</f>
        <v/>
      </c>
      <c r="AD90" s="24" t="str">
        <f>IF(AND($T90=8000, ($T90+$W90-$AB90)&gt;=8000),T90,"")</f>
        <v/>
      </c>
      <c r="AE90" s="24" t="str">
        <f>IF(($T90+$W90-$AB90)&gt;=$T90+8000,W90,"")</f>
        <v/>
      </c>
    </row>
    <row r="91" spans="1:31" x14ac:dyDescent="0.25">
      <c r="A91" s="22" t="s">
        <v>224</v>
      </c>
      <c r="B91" s="22" t="s">
        <v>226</v>
      </c>
      <c r="C91" s="22" t="s">
        <v>48</v>
      </c>
      <c r="D91" s="23">
        <v>0.25</v>
      </c>
      <c r="E91" s="24">
        <v>0</v>
      </c>
      <c r="F91" s="24">
        <v>28000</v>
      </c>
      <c r="G91" s="24">
        <v>4000</v>
      </c>
      <c r="H91" s="24">
        <v>0</v>
      </c>
      <c r="I91" s="24">
        <v>5000</v>
      </c>
      <c r="J91" s="24">
        <f>(1-$D91)*E91</f>
        <v>0</v>
      </c>
      <c r="K91" s="24">
        <f>(1-$D91)*F91</f>
        <v>21000</v>
      </c>
      <c r="L91" s="24">
        <f>G91</f>
        <v>4000</v>
      </c>
      <c r="M91" s="24">
        <f>(1-$D91)*H91</f>
        <v>0</v>
      </c>
      <c r="N91" s="24">
        <f>(1-$D91)*I91</f>
        <v>3750</v>
      </c>
      <c r="O91" s="24">
        <v>25730</v>
      </c>
      <c r="P91" s="24">
        <v>11330</v>
      </c>
      <c r="Q91" s="24">
        <v>0</v>
      </c>
      <c r="R91" s="24">
        <v>0</v>
      </c>
      <c r="S91" s="24">
        <v>0</v>
      </c>
      <c r="T91" s="24">
        <v>6000</v>
      </c>
      <c r="U91" s="24">
        <v>0</v>
      </c>
      <c r="V91" s="24">
        <v>0</v>
      </c>
      <c r="W91" s="24">
        <v>0</v>
      </c>
      <c r="X91" s="24">
        <v>0</v>
      </c>
      <c r="Y91" s="24">
        <v>22105</v>
      </c>
      <c r="Z91" s="24">
        <f>SUM(J91:Y91)</f>
        <v>93915</v>
      </c>
      <c r="AA91" s="24">
        <v>0</v>
      </c>
      <c r="AB91" s="20">
        <f>Z91-AA91</f>
        <v>93915</v>
      </c>
      <c r="AC91" s="24" t="str">
        <f>IF(AND($T91=6000, ($T91+$W91-$AB91)&gt;=6000),T91,"")</f>
        <v/>
      </c>
      <c r="AD91" s="24" t="str">
        <f>IF(AND($T91=8000, ($T91+$W91-$AB91)&gt;=8000),T91,"")</f>
        <v/>
      </c>
      <c r="AE91" s="24" t="str">
        <f>IF(($T91+$W91-$AB91)&gt;=$T91+8000,W91,"")</f>
        <v/>
      </c>
    </row>
    <row r="92" spans="1:31" x14ac:dyDescent="0.25">
      <c r="A92" s="22" t="s">
        <v>113</v>
      </c>
      <c r="B92" s="22" t="s">
        <v>114</v>
      </c>
      <c r="C92" s="22" t="s">
        <v>48</v>
      </c>
      <c r="D92" s="23">
        <v>0.5</v>
      </c>
      <c r="E92" s="24">
        <v>0</v>
      </c>
      <c r="F92" s="24">
        <v>28000</v>
      </c>
      <c r="G92" s="24">
        <v>4000</v>
      </c>
      <c r="H92" s="24">
        <v>0</v>
      </c>
      <c r="I92" s="24">
        <v>5000</v>
      </c>
      <c r="J92" s="24">
        <f>(1-$D92)*E92</f>
        <v>0</v>
      </c>
      <c r="K92" s="24">
        <f>(1-$D92)*F92</f>
        <v>14000</v>
      </c>
      <c r="L92" s="24">
        <f>G92</f>
        <v>4000</v>
      </c>
      <c r="M92" s="24">
        <f>(1-$D92)*H92</f>
        <v>0</v>
      </c>
      <c r="N92" s="24">
        <f>(1-$D92)*I92</f>
        <v>2500</v>
      </c>
      <c r="O92" s="24">
        <v>25730</v>
      </c>
      <c r="P92" s="24">
        <v>11330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>SUM(J92:Y92)</f>
        <v>57560</v>
      </c>
      <c r="AA92" s="24">
        <v>0</v>
      </c>
      <c r="AB92" s="20">
        <f>Z92-AA92</f>
        <v>57560</v>
      </c>
      <c r="AC92" s="24" t="str">
        <f>IF(AND($T92=6000, ($T92+$W92-$AB92)&gt;=6000),T92,"")</f>
        <v/>
      </c>
      <c r="AD92" s="24" t="str">
        <f>IF(AND($T92=8000, ($T92+$W92-$AB92)&gt;=8000),T92,"")</f>
        <v/>
      </c>
      <c r="AE92" s="24" t="str">
        <f>IF(($T92+$W92-$AB92)&gt;=$T92+8000,W92,"")</f>
        <v/>
      </c>
    </row>
    <row r="93" spans="1:31" x14ac:dyDescent="0.25">
      <c r="A93" s="22" t="s">
        <v>125</v>
      </c>
      <c r="B93" s="22" t="s">
        <v>127</v>
      </c>
      <c r="C93" s="22" t="s">
        <v>48</v>
      </c>
      <c r="D93" s="23">
        <v>0.25</v>
      </c>
      <c r="E93" s="24">
        <v>0</v>
      </c>
      <c r="F93" s="24">
        <v>28000</v>
      </c>
      <c r="G93" s="24">
        <v>4000</v>
      </c>
      <c r="H93" s="24">
        <v>0</v>
      </c>
      <c r="I93" s="24">
        <v>5000</v>
      </c>
      <c r="J93" s="24">
        <f>(1-$D93)*E93</f>
        <v>0</v>
      </c>
      <c r="K93" s="24">
        <f>(1-$D93)*F93</f>
        <v>21000</v>
      </c>
      <c r="L93" s="24">
        <f>G93</f>
        <v>4000</v>
      </c>
      <c r="M93" s="24">
        <f>(1-$D93)*H93</f>
        <v>0</v>
      </c>
      <c r="N93" s="24">
        <f>(1-$D93)*I93</f>
        <v>3750</v>
      </c>
      <c r="O93" s="24">
        <v>25730</v>
      </c>
      <c r="P93" s="24">
        <v>11330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f>SUM(J93:Y93)</f>
        <v>65810</v>
      </c>
      <c r="AA93" s="24">
        <v>0</v>
      </c>
      <c r="AB93" s="20">
        <f>Z93-AA93</f>
        <v>65810</v>
      </c>
      <c r="AC93" s="24" t="str">
        <f>IF(AND($T93=6000, ($T93+$W93-$AB93)&gt;=6000),T93,"")</f>
        <v/>
      </c>
      <c r="AD93" s="24" t="str">
        <f>IF(AND($T93=8000, ($T93+$W93-$AB93)&gt;=8000),T93,"")</f>
        <v/>
      </c>
      <c r="AE93" s="24" t="str">
        <f>IF(($T93+$W93-$AB93)&gt;=$T93+8000,W93,"")</f>
        <v/>
      </c>
    </row>
    <row r="94" spans="1:31" x14ac:dyDescent="0.25">
      <c r="A94" s="22" t="s">
        <v>133</v>
      </c>
      <c r="B94" s="22" t="s">
        <v>134</v>
      </c>
      <c r="C94" s="22" t="s">
        <v>48</v>
      </c>
      <c r="D94" s="23">
        <v>0</v>
      </c>
      <c r="E94" s="24">
        <v>0</v>
      </c>
      <c r="F94" s="24">
        <v>28000</v>
      </c>
      <c r="G94" s="24">
        <v>4000</v>
      </c>
      <c r="H94" s="24">
        <v>0</v>
      </c>
      <c r="I94" s="24">
        <v>5000</v>
      </c>
      <c r="J94" s="24">
        <f>(1-$D94)*E94</f>
        <v>0</v>
      </c>
      <c r="K94" s="24">
        <f>(1-$D94)*F94</f>
        <v>28000</v>
      </c>
      <c r="L94" s="24">
        <f>G94</f>
        <v>4000</v>
      </c>
      <c r="M94" s="24">
        <f>(1-$D94)*H94</f>
        <v>0</v>
      </c>
      <c r="N94" s="24">
        <f>(1-$D94)*I94</f>
        <v>5000</v>
      </c>
      <c r="O94" s="24">
        <v>25730</v>
      </c>
      <c r="P94" s="24">
        <v>11330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4020</v>
      </c>
      <c r="Z94" s="24">
        <f>SUM(J94:Y94)</f>
        <v>78080</v>
      </c>
      <c r="AA94" s="24">
        <v>0</v>
      </c>
      <c r="AB94" s="20">
        <f>Z94-AA94</f>
        <v>78080</v>
      </c>
      <c r="AC94" s="24" t="str">
        <f>IF(AND($T94=6000, ($T94+$W94-$AB94)&gt;=6000),T94,"")</f>
        <v/>
      </c>
      <c r="AD94" s="24" t="str">
        <f>IF(AND($T94=8000, ($T94+$W94-$AB94)&gt;=8000),T94,"")</f>
        <v/>
      </c>
      <c r="AE94" s="24" t="str">
        <f>IF(($T94+$W94-$AB94)&gt;=$T94+8000,W94,"")</f>
        <v/>
      </c>
    </row>
    <row r="95" spans="1:31" x14ac:dyDescent="0.25">
      <c r="A95" s="22" t="s">
        <v>182</v>
      </c>
      <c r="B95" s="22" t="s">
        <v>210</v>
      </c>
      <c r="C95" s="22" t="s">
        <v>46</v>
      </c>
      <c r="D95" s="23">
        <v>0.25</v>
      </c>
      <c r="E95" s="24">
        <v>0</v>
      </c>
      <c r="F95" s="24">
        <v>28000</v>
      </c>
      <c r="G95" s="24">
        <v>4000</v>
      </c>
      <c r="H95" s="24">
        <v>0</v>
      </c>
      <c r="I95" s="24">
        <v>5000</v>
      </c>
      <c r="J95" s="24">
        <f>(1-$D95)*E95</f>
        <v>0</v>
      </c>
      <c r="K95" s="24">
        <f>(1-$D95)*F95</f>
        <v>21000</v>
      </c>
      <c r="L95" s="24">
        <f>G95</f>
        <v>4000</v>
      </c>
      <c r="M95" s="24">
        <f>(1-$D95)*H95</f>
        <v>0</v>
      </c>
      <c r="N95" s="24">
        <f>(1-$D95)*I95</f>
        <v>3750</v>
      </c>
      <c r="O95" s="24">
        <v>26890</v>
      </c>
      <c r="P95" s="24">
        <v>13230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>SUM(J95:Y95)</f>
        <v>68870</v>
      </c>
      <c r="AA95" s="24">
        <v>0</v>
      </c>
      <c r="AB95" s="20">
        <f>Z95-AA95</f>
        <v>68870</v>
      </c>
      <c r="AC95" s="24" t="str">
        <f>IF(AND($T95=6000, ($T95+$W95-$AB95)&gt;=6000),T95,"")</f>
        <v/>
      </c>
      <c r="AD95" s="24" t="str">
        <f>IF(AND($T95=8000, ($T95+$W95-$AB95)&gt;=8000),T95,"")</f>
        <v/>
      </c>
      <c r="AE95" s="24" t="str">
        <f>IF(($T95+$W95-$AB95)&gt;=$T95+8000,W95,"")</f>
        <v/>
      </c>
    </row>
    <row r="96" spans="1:31" x14ac:dyDescent="0.25">
      <c r="A96" s="22" t="s">
        <v>37</v>
      </c>
      <c r="B96" s="22" t="s">
        <v>39</v>
      </c>
      <c r="C96" s="22" t="s">
        <v>46</v>
      </c>
      <c r="D96" s="23">
        <v>0.5</v>
      </c>
      <c r="E96" s="24">
        <v>0</v>
      </c>
      <c r="F96" s="24">
        <v>28000</v>
      </c>
      <c r="G96" s="24">
        <v>4000</v>
      </c>
      <c r="H96" s="24">
        <v>0</v>
      </c>
      <c r="I96" s="24">
        <v>5000</v>
      </c>
      <c r="J96" s="24">
        <f>(1-$D96)*E96</f>
        <v>0</v>
      </c>
      <c r="K96" s="24">
        <f>(1-$D96)*F96</f>
        <v>14000</v>
      </c>
      <c r="L96" s="24">
        <f>G96</f>
        <v>4000</v>
      </c>
      <c r="M96" s="24">
        <f>(1-$D96)*H96</f>
        <v>0</v>
      </c>
      <c r="N96" s="24">
        <f>(1-$D96)*I96</f>
        <v>2500</v>
      </c>
      <c r="O96" s="24">
        <v>26890</v>
      </c>
      <c r="P96" s="24">
        <v>13230</v>
      </c>
      <c r="Q96" s="24">
        <v>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-530</v>
      </c>
      <c r="Z96" s="24">
        <f>SUM(J96:Y96)</f>
        <v>60090</v>
      </c>
      <c r="AA96" s="24">
        <v>0</v>
      </c>
      <c r="AB96" s="20">
        <f>Z96-AA96</f>
        <v>60090</v>
      </c>
      <c r="AC96" s="24" t="str">
        <f>IF(AND($T96=6000, ($T96+$W96-$AB96)&gt;=6000),T96,"")</f>
        <v/>
      </c>
      <c r="AD96" s="24" t="str">
        <f>IF(AND($T96=8000, ($T96+$W96-$AB96)&gt;=8000),T96,"")</f>
        <v/>
      </c>
      <c r="AE96" s="24" t="str">
        <f>IF(($T96+$W96-$AB96)&gt;=$T96+8000,W96,"")</f>
        <v/>
      </c>
    </row>
    <row r="97" spans="1:31" x14ac:dyDescent="0.25">
      <c r="A97" s="22" t="s">
        <v>40</v>
      </c>
      <c r="B97" s="22" t="s">
        <v>140</v>
      </c>
      <c r="C97" s="22" t="s">
        <v>46</v>
      </c>
      <c r="D97" s="23">
        <v>0.25</v>
      </c>
      <c r="E97" s="24">
        <v>0</v>
      </c>
      <c r="F97" s="24">
        <v>28000</v>
      </c>
      <c r="G97" s="24">
        <v>4000</v>
      </c>
      <c r="H97" s="24">
        <v>0</v>
      </c>
      <c r="I97" s="24">
        <v>5000</v>
      </c>
      <c r="J97" s="24">
        <f>(1-$D97)*E97</f>
        <v>0</v>
      </c>
      <c r="K97" s="24">
        <f>(1-$D97)*F97</f>
        <v>21000</v>
      </c>
      <c r="L97" s="24">
        <f>G97</f>
        <v>4000</v>
      </c>
      <c r="M97" s="24">
        <f>(1-$D97)*H97</f>
        <v>0</v>
      </c>
      <c r="N97" s="24">
        <f>(1-$D97)*I97</f>
        <v>3750</v>
      </c>
      <c r="O97" s="24">
        <v>26890</v>
      </c>
      <c r="P97" s="24">
        <v>13230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f>SUM(J97:Y97)</f>
        <v>68870</v>
      </c>
      <c r="AA97" s="24">
        <v>0</v>
      </c>
      <c r="AB97" s="20">
        <f>Z97-AA97</f>
        <v>68870</v>
      </c>
      <c r="AC97" s="24" t="str">
        <f>IF(AND($T97=6000, ($T97+$W97-$AB97)&gt;=6000),T97,"")</f>
        <v/>
      </c>
      <c r="AD97" s="24" t="str">
        <f>IF(AND($T97=8000, ($T97+$W97-$AB97)&gt;=8000),T97,"")</f>
        <v/>
      </c>
      <c r="AE97" s="24" t="str">
        <f>IF(($T97+$W97-$AB97)&gt;=$T97+8000,W97,"")</f>
        <v/>
      </c>
    </row>
    <row r="98" spans="1:31" x14ac:dyDescent="0.25">
      <c r="A98" s="22" t="s">
        <v>83</v>
      </c>
      <c r="B98" s="22" t="s">
        <v>84</v>
      </c>
      <c r="C98" s="22" t="s">
        <v>46</v>
      </c>
      <c r="D98" s="23">
        <v>0</v>
      </c>
      <c r="E98" s="24">
        <v>0</v>
      </c>
      <c r="F98" s="24">
        <v>28000</v>
      </c>
      <c r="G98" s="24">
        <v>4000</v>
      </c>
      <c r="H98" s="24">
        <v>0</v>
      </c>
      <c r="I98" s="24">
        <v>5000</v>
      </c>
      <c r="J98" s="24">
        <f>(1-$D98)*E98</f>
        <v>0</v>
      </c>
      <c r="K98" s="24">
        <f>(1-$D98)*F98</f>
        <v>28000</v>
      </c>
      <c r="L98" s="24">
        <f>G98</f>
        <v>4000</v>
      </c>
      <c r="M98" s="24">
        <f>(1-$D98)*H98</f>
        <v>0</v>
      </c>
      <c r="N98" s="24">
        <f>(1-$D98)*I98</f>
        <v>5000</v>
      </c>
      <c r="O98" s="24">
        <v>26890</v>
      </c>
      <c r="P98" s="24">
        <v>13230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>SUM(J98:Y98)</f>
        <v>77120</v>
      </c>
      <c r="AA98" s="24">
        <v>0</v>
      </c>
      <c r="AB98" s="20">
        <f>Z98-AA98</f>
        <v>77120</v>
      </c>
      <c r="AC98" s="24" t="str">
        <f>IF(AND($T98=6000, ($T98+$W98-$AB98)&gt;=6000),T98,"")</f>
        <v/>
      </c>
      <c r="AD98" s="24" t="str">
        <f>IF(AND($T98=8000, ($T98+$W98-$AB98)&gt;=8000),T98,"")</f>
        <v/>
      </c>
      <c r="AE98" s="24" t="str">
        <f>IF(($T98+$W98-$AB98)&gt;=$T98+8000,W98,"")</f>
        <v/>
      </c>
    </row>
    <row r="99" spans="1:31" x14ac:dyDescent="0.25">
      <c r="A99" s="22" t="s">
        <v>161</v>
      </c>
      <c r="B99" s="22" t="s">
        <v>162</v>
      </c>
      <c r="C99" s="22" t="s">
        <v>46</v>
      </c>
      <c r="D99" s="23">
        <v>0.25</v>
      </c>
      <c r="E99" s="24">
        <v>0</v>
      </c>
      <c r="F99" s="24">
        <v>28000</v>
      </c>
      <c r="G99" s="24">
        <v>4000</v>
      </c>
      <c r="H99" s="24">
        <v>0</v>
      </c>
      <c r="I99" s="24">
        <v>5000</v>
      </c>
      <c r="J99" s="24">
        <f>(1-$D99)*E99</f>
        <v>0</v>
      </c>
      <c r="K99" s="24">
        <f>(1-$D99)*F99</f>
        <v>21000</v>
      </c>
      <c r="L99" s="24">
        <f>G99</f>
        <v>4000</v>
      </c>
      <c r="M99" s="24">
        <f>(1-$D99)*H99</f>
        <v>0</v>
      </c>
      <c r="N99" s="24">
        <f>(1-$D99)*I99</f>
        <v>3750</v>
      </c>
      <c r="O99" s="24">
        <v>26890</v>
      </c>
      <c r="P99" s="24">
        <v>13230</v>
      </c>
      <c r="Q99" s="24">
        <v>0</v>
      </c>
      <c r="R99" s="24">
        <v>0</v>
      </c>
      <c r="S99" s="24">
        <v>0</v>
      </c>
      <c r="T99" s="24">
        <v>6000</v>
      </c>
      <c r="U99" s="24">
        <v>0</v>
      </c>
      <c r="V99" s="24">
        <v>0</v>
      </c>
      <c r="W99" s="24">
        <v>0</v>
      </c>
      <c r="X99" s="24">
        <v>0</v>
      </c>
      <c r="Y99" s="24">
        <v>-695</v>
      </c>
      <c r="Z99" s="24">
        <f>SUM(J99:Y99)</f>
        <v>74175</v>
      </c>
      <c r="AA99" s="24">
        <v>0</v>
      </c>
      <c r="AB99" s="20">
        <f>Z99-AA99</f>
        <v>74175</v>
      </c>
      <c r="AC99" s="24" t="str">
        <f>IF(AND($T99=6000, ($T99+$W99-$AB99)&gt;=6000),T99,"")</f>
        <v/>
      </c>
      <c r="AD99" s="24" t="str">
        <f>IF(AND($T99=8000, ($T99+$W99-$AB99)&gt;=8000),T99,"")</f>
        <v/>
      </c>
      <c r="AE99" s="24" t="str">
        <f>IF(($T99+$W99-$AB99)&gt;=$T99+8000,W99,"")</f>
        <v/>
      </c>
    </row>
    <row r="100" spans="1:31" x14ac:dyDescent="0.25">
      <c r="A100" s="22" t="s">
        <v>89</v>
      </c>
      <c r="B100" s="22" t="s">
        <v>91</v>
      </c>
      <c r="C100" s="22" t="s">
        <v>46</v>
      </c>
      <c r="D100" s="23">
        <v>0.25</v>
      </c>
      <c r="E100" s="24">
        <v>0</v>
      </c>
      <c r="F100" s="24">
        <v>28000</v>
      </c>
      <c r="G100" s="24">
        <v>4000</v>
      </c>
      <c r="H100" s="24">
        <v>0</v>
      </c>
      <c r="I100" s="24">
        <v>5000</v>
      </c>
      <c r="J100" s="24">
        <f>(1-$D100)*E100</f>
        <v>0</v>
      </c>
      <c r="K100" s="24">
        <f>(1-$D100)*F100</f>
        <v>21000</v>
      </c>
      <c r="L100" s="24">
        <f>G100</f>
        <v>4000</v>
      </c>
      <c r="M100" s="24">
        <f>(1-$D100)*H100</f>
        <v>0</v>
      </c>
      <c r="N100" s="24">
        <f>(1-$D100)*I100</f>
        <v>3750</v>
      </c>
      <c r="O100" s="24">
        <v>26890</v>
      </c>
      <c r="P100" s="24">
        <v>13230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450</v>
      </c>
      <c r="Z100" s="24">
        <f>SUM(J100:Y100)</f>
        <v>69320</v>
      </c>
      <c r="AA100" s="24">
        <v>0</v>
      </c>
      <c r="AB100" s="20">
        <f>Z100-AA100</f>
        <v>69320</v>
      </c>
      <c r="AC100" s="24" t="str">
        <f>IF(AND($T100=6000, ($T100+$W100-$AB100)&gt;=6000),T100,"")</f>
        <v/>
      </c>
      <c r="AD100" s="24" t="str">
        <f>IF(AND($T100=8000, ($T100+$W100-$AB100)&gt;=8000),T100,"")</f>
        <v/>
      </c>
      <c r="AE100" s="24" t="str">
        <f>IF(($T100+$W100-$AB100)&gt;=$T100+8000,W100,"")</f>
        <v/>
      </c>
    </row>
    <row r="101" spans="1:31" x14ac:dyDescent="0.25">
      <c r="A101" s="22" t="s">
        <v>102</v>
      </c>
      <c r="B101" s="22" t="s">
        <v>105</v>
      </c>
      <c r="C101" s="22" t="s">
        <v>46</v>
      </c>
      <c r="D101" s="23">
        <v>0.25</v>
      </c>
      <c r="E101" s="24">
        <v>0</v>
      </c>
      <c r="F101" s="24">
        <v>28000</v>
      </c>
      <c r="G101" s="24">
        <v>4000</v>
      </c>
      <c r="H101" s="24">
        <v>0</v>
      </c>
      <c r="I101" s="24">
        <v>5000</v>
      </c>
      <c r="J101" s="24">
        <f>(1-$D101)*E101</f>
        <v>0</v>
      </c>
      <c r="K101" s="24">
        <f>(1-$D101)*F101</f>
        <v>21000</v>
      </c>
      <c r="L101" s="24">
        <f>G101</f>
        <v>4000</v>
      </c>
      <c r="M101" s="24">
        <f>(1-$D101)*H101</f>
        <v>0</v>
      </c>
      <c r="N101" s="24">
        <f>(1-$D101)*I101</f>
        <v>3750</v>
      </c>
      <c r="O101" s="24">
        <v>26890</v>
      </c>
      <c r="P101" s="24">
        <v>13230</v>
      </c>
      <c r="Q101" s="24">
        <v>0</v>
      </c>
      <c r="R101" s="24">
        <v>0</v>
      </c>
      <c r="S101" s="24">
        <v>0</v>
      </c>
      <c r="T101" s="24">
        <v>6000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f>SUM(J101:Y101)</f>
        <v>74870</v>
      </c>
      <c r="AA101" s="24">
        <v>0</v>
      </c>
      <c r="AB101" s="20">
        <f>Z101-AA101</f>
        <v>74870</v>
      </c>
      <c r="AC101" s="24" t="str">
        <f>IF(AND($T101=6000, ($T101+$W101-$AB101)&gt;=6000),T101,"")</f>
        <v/>
      </c>
      <c r="AD101" s="24" t="str">
        <f>IF(AND($T101=8000, ($T101+$W101-$AB101)&gt;=8000),T101,"")</f>
        <v/>
      </c>
      <c r="AE101" s="24" t="str">
        <f>IF(($T101+$W101-$AB101)&gt;=$T101+8000,W101,"")</f>
        <v/>
      </c>
    </row>
    <row r="102" spans="1:31" x14ac:dyDescent="0.25">
      <c r="A102" s="22" t="s">
        <v>118</v>
      </c>
      <c r="B102" s="22" t="s">
        <v>120</v>
      </c>
      <c r="C102" s="22" t="s">
        <v>46</v>
      </c>
      <c r="D102" s="23">
        <v>0.25</v>
      </c>
      <c r="E102" s="24">
        <v>0</v>
      </c>
      <c r="F102" s="24">
        <v>28000</v>
      </c>
      <c r="G102" s="24">
        <v>4000</v>
      </c>
      <c r="H102" s="24">
        <v>0</v>
      </c>
      <c r="I102" s="24">
        <v>5000</v>
      </c>
      <c r="J102" s="24">
        <f>(1-$D102)*E102</f>
        <v>0</v>
      </c>
      <c r="K102" s="24">
        <f>(1-$D102)*F102</f>
        <v>21000</v>
      </c>
      <c r="L102" s="24">
        <f>G102</f>
        <v>4000</v>
      </c>
      <c r="M102" s="24">
        <f>(1-$D102)*H102</f>
        <v>0</v>
      </c>
      <c r="N102" s="24">
        <f>(1-$D102)*I102</f>
        <v>3750</v>
      </c>
      <c r="O102" s="24">
        <v>26890</v>
      </c>
      <c r="P102" s="24">
        <v>13230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>SUM(J102:Y102)</f>
        <v>68870</v>
      </c>
      <c r="AA102" s="24">
        <v>0</v>
      </c>
      <c r="AB102" s="20">
        <f>Z102-AA102</f>
        <v>68870</v>
      </c>
      <c r="AC102" s="24" t="str">
        <f>IF(AND($T102=6000, ($T102+$W102-$AB102)&gt;=6000),T102,"")</f>
        <v/>
      </c>
      <c r="AD102" s="24" t="str">
        <f>IF(AND($T102=8000, ($T102+$W102-$AB102)&gt;=8000),T102,"")</f>
        <v/>
      </c>
      <c r="AE102" s="24" t="str">
        <f>IF(($T102+$W102-$AB102)&gt;=$T102+8000,W102,"")</f>
        <v/>
      </c>
    </row>
    <row r="103" spans="1:31" x14ac:dyDescent="0.25">
      <c r="A103" s="22" t="s">
        <v>198</v>
      </c>
      <c r="B103" s="22" t="s">
        <v>32</v>
      </c>
      <c r="C103" s="22" t="s">
        <v>46</v>
      </c>
      <c r="D103" s="23">
        <v>0.25</v>
      </c>
      <c r="E103" s="24">
        <v>0</v>
      </c>
      <c r="F103" s="24">
        <v>28000</v>
      </c>
      <c r="G103" s="24">
        <v>4000</v>
      </c>
      <c r="H103" s="24">
        <v>0</v>
      </c>
      <c r="I103" s="24">
        <v>5000</v>
      </c>
      <c r="J103" s="24">
        <f>(1-$D103)*E103</f>
        <v>0</v>
      </c>
      <c r="K103" s="24">
        <f>(1-$D103)*F103</f>
        <v>21000</v>
      </c>
      <c r="L103" s="24">
        <f>G103</f>
        <v>4000</v>
      </c>
      <c r="M103" s="24">
        <f>(1-$D103)*H103</f>
        <v>0</v>
      </c>
      <c r="N103" s="24">
        <f>(1-$D103)*I103</f>
        <v>3750</v>
      </c>
      <c r="O103" s="24">
        <v>26890</v>
      </c>
      <c r="P103" s="24">
        <v>13230</v>
      </c>
      <c r="Q103" s="24">
        <v>0</v>
      </c>
      <c r="R103" s="24">
        <v>0</v>
      </c>
      <c r="S103" s="24">
        <v>0</v>
      </c>
      <c r="T103" s="24">
        <v>6000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>SUM(J103:Y103)</f>
        <v>74870</v>
      </c>
      <c r="AA103" s="24">
        <v>0</v>
      </c>
      <c r="AB103" s="20">
        <f>Z103-AA103</f>
        <v>74870</v>
      </c>
      <c r="AC103" s="24" t="str">
        <f>IF(AND($T103=6000, ($T103+$W103-$AB103)&gt;=6000),T103,"")</f>
        <v/>
      </c>
      <c r="AD103" s="24" t="str">
        <f>IF(AND($T103=8000, ($T103+$W103-$AB103)&gt;=8000),T103,"")</f>
        <v/>
      </c>
      <c r="AE103" s="24" t="str">
        <f>IF(($T103+$W103-$AB103)&gt;=$T103+8000,W103,"")</f>
        <v/>
      </c>
    </row>
    <row r="104" spans="1:31" x14ac:dyDescent="0.25">
      <c r="A104" s="22" t="s">
        <v>85</v>
      </c>
      <c r="B104" s="22" t="s">
        <v>87</v>
      </c>
      <c r="C104" s="22" t="s">
        <v>59</v>
      </c>
      <c r="D104" s="23">
        <v>0.25</v>
      </c>
      <c r="E104" s="24">
        <v>0</v>
      </c>
      <c r="F104" s="24">
        <v>28000</v>
      </c>
      <c r="G104" s="24">
        <v>4000</v>
      </c>
      <c r="H104" s="24">
        <v>0</v>
      </c>
      <c r="I104" s="24">
        <v>5000</v>
      </c>
      <c r="J104" s="24">
        <f>(1-$D104)*E104</f>
        <v>0</v>
      </c>
      <c r="K104" s="24">
        <f>(1-$D104)*F104</f>
        <v>21000</v>
      </c>
      <c r="L104" s="24">
        <f>G104</f>
        <v>4000</v>
      </c>
      <c r="M104" s="24">
        <f>(1-$D104)*H104</f>
        <v>0</v>
      </c>
      <c r="N104" s="24">
        <f>(1-$D104)*I104</f>
        <v>3750</v>
      </c>
      <c r="O104" s="24">
        <v>26910</v>
      </c>
      <c r="P104" s="24">
        <v>13230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>SUM(J104:Y104)</f>
        <v>68890</v>
      </c>
      <c r="AA104" s="24">
        <v>0</v>
      </c>
      <c r="AB104" s="20">
        <f>Z104-AA104</f>
        <v>68890</v>
      </c>
      <c r="AC104" s="24" t="str">
        <f>IF(AND($T104=6000, ($T104+$W104-$AB104)&gt;=6000),T104,"")</f>
        <v/>
      </c>
      <c r="AD104" s="24" t="str">
        <f>IF(AND($T104=8000, ($T104+$W104-$AB104)&gt;=8000),T104,"")</f>
        <v/>
      </c>
      <c r="AE104" s="24" t="str">
        <f>IF(($T104+$W104-$AB104)&gt;=$T104+8000,W104,"")</f>
        <v/>
      </c>
    </row>
    <row r="105" spans="1:31" x14ac:dyDescent="0.25">
      <c r="A105" s="22" t="s">
        <v>157</v>
      </c>
      <c r="B105" s="22" t="s">
        <v>222</v>
      </c>
      <c r="C105" s="22" t="s">
        <v>59</v>
      </c>
      <c r="D105" s="23">
        <v>0.5</v>
      </c>
      <c r="E105" s="24">
        <v>0</v>
      </c>
      <c r="F105" s="24">
        <v>28000</v>
      </c>
      <c r="G105" s="24">
        <v>4000</v>
      </c>
      <c r="H105" s="24">
        <v>0</v>
      </c>
      <c r="I105" s="24">
        <v>5000</v>
      </c>
      <c r="J105" s="24">
        <f>(1-$D105)*E105</f>
        <v>0</v>
      </c>
      <c r="K105" s="24">
        <f>(1-$D105)*F105</f>
        <v>14000</v>
      </c>
      <c r="L105" s="24">
        <f>G105</f>
        <v>4000</v>
      </c>
      <c r="M105" s="24">
        <f>(1-$D105)*H105</f>
        <v>0</v>
      </c>
      <c r="N105" s="24">
        <f>(1-$D105)*I105</f>
        <v>2500</v>
      </c>
      <c r="O105" s="24">
        <v>26910</v>
      </c>
      <c r="P105" s="24">
        <v>13230</v>
      </c>
      <c r="Q105" s="24">
        <v>0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8080</v>
      </c>
      <c r="Z105" s="24">
        <f>SUM(J105:Y105)</f>
        <v>68720</v>
      </c>
      <c r="AA105" s="24">
        <v>0</v>
      </c>
      <c r="AB105" s="20">
        <f>Z105-AA105</f>
        <v>68720</v>
      </c>
      <c r="AC105" s="24" t="str">
        <f>IF(AND($T105=6000, ($T105+$W105-$AB105)&gt;=6000),T105,"")</f>
        <v/>
      </c>
      <c r="AD105" s="24" t="str">
        <f>IF(AND($T105=8000, ($T105+$W105-$AB105)&gt;=8000),T105,"")</f>
        <v/>
      </c>
      <c r="AE105" s="24" t="str">
        <f>IF(($T105+$W105-$AB105)&gt;=$T105+8000,W105,"")</f>
        <v/>
      </c>
    </row>
    <row r="106" spans="1:31" x14ac:dyDescent="0.25">
      <c r="A106" s="22" t="s">
        <v>107</v>
      </c>
      <c r="B106" s="22" t="s">
        <v>108</v>
      </c>
      <c r="C106" s="22" t="s">
        <v>59</v>
      </c>
      <c r="D106" s="23">
        <v>1</v>
      </c>
      <c r="E106" s="24">
        <v>0</v>
      </c>
      <c r="F106" s="24">
        <v>28000</v>
      </c>
      <c r="G106" s="24">
        <v>4000</v>
      </c>
      <c r="H106" s="24">
        <v>0</v>
      </c>
      <c r="I106" s="24">
        <v>5000</v>
      </c>
      <c r="J106" s="24">
        <f>(1-$D106)*E106</f>
        <v>0</v>
      </c>
      <c r="K106" s="24">
        <f>(1-$D106)*F106</f>
        <v>0</v>
      </c>
      <c r="L106" s="24">
        <f>G106</f>
        <v>4000</v>
      </c>
      <c r="M106" s="24">
        <f>(1-$D106)*H106</f>
        <v>0</v>
      </c>
      <c r="N106" s="24">
        <f>(1-$D106)*I106</f>
        <v>0</v>
      </c>
      <c r="O106" s="24">
        <v>26910</v>
      </c>
      <c r="P106" s="24">
        <v>13230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>SUM(J106:Y106)</f>
        <v>50140</v>
      </c>
      <c r="AA106" s="24">
        <v>0</v>
      </c>
      <c r="AB106" s="20">
        <f>Z106-AA106</f>
        <v>50140</v>
      </c>
      <c r="AC106" s="24" t="str">
        <f>IF(AND($T106=6000, ($T106+$W106-$AB106)&gt;=6000),T106,"")</f>
        <v/>
      </c>
      <c r="AD106" s="24" t="str">
        <f>IF(AND($T106=8000, ($T106+$W106-$AB106)&gt;=8000),T106,"")</f>
        <v/>
      </c>
      <c r="AE106" s="24" t="str">
        <f>IF(($T106+$W106-$AB106)&gt;=$T106+8000,W106,"")</f>
        <v/>
      </c>
    </row>
    <row r="107" spans="1:31" x14ac:dyDescent="0.25">
      <c r="A107" s="22" t="s">
        <v>184</v>
      </c>
      <c r="B107" s="22" t="s">
        <v>186</v>
      </c>
      <c r="C107" s="22" t="s">
        <v>59</v>
      </c>
      <c r="D107" s="23">
        <v>0.25</v>
      </c>
      <c r="E107" s="24">
        <v>0</v>
      </c>
      <c r="F107" s="24">
        <v>28000</v>
      </c>
      <c r="G107" s="24">
        <v>4000</v>
      </c>
      <c r="H107" s="24">
        <v>0</v>
      </c>
      <c r="I107" s="24">
        <v>5000</v>
      </c>
      <c r="J107" s="24">
        <f>(1-$D107)*E107</f>
        <v>0</v>
      </c>
      <c r="K107" s="24">
        <f>(1-$D107)*F107</f>
        <v>21000</v>
      </c>
      <c r="L107" s="24">
        <f>G107</f>
        <v>4000</v>
      </c>
      <c r="M107" s="24">
        <f>(1-$D107)*H107</f>
        <v>0</v>
      </c>
      <c r="N107" s="24">
        <f>(1-$D107)*I107</f>
        <v>3750</v>
      </c>
      <c r="O107" s="24">
        <v>26910</v>
      </c>
      <c r="P107" s="24">
        <v>13230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>SUM(J107:Y107)</f>
        <v>74890</v>
      </c>
      <c r="AA107" s="24">
        <v>0</v>
      </c>
      <c r="AB107" s="20">
        <f>Z107-AA107</f>
        <v>74890</v>
      </c>
      <c r="AC107" s="24" t="str">
        <f>IF(AND($T107=6000, ($T107+$W107-$AB107)&gt;=6000),T107,"")</f>
        <v/>
      </c>
      <c r="AD107" s="24" t="str">
        <f>IF(AND($T107=8000, ($T107+$W107-$AB107)&gt;=8000),T107,"")</f>
        <v/>
      </c>
      <c r="AE107" s="24" t="str">
        <f>IF(($T107+$W107-$AB107)&gt;=$T107+8000,W107,"")</f>
        <v/>
      </c>
    </row>
    <row r="108" spans="1:31" x14ac:dyDescent="0.25">
      <c r="A108" s="22" t="s">
        <v>42</v>
      </c>
      <c r="B108" s="22" t="s">
        <v>45</v>
      </c>
      <c r="C108" s="22" t="s">
        <v>249</v>
      </c>
      <c r="D108" s="23">
        <v>0.25</v>
      </c>
      <c r="E108" s="24">
        <v>0</v>
      </c>
      <c r="F108" s="24">
        <v>28000</v>
      </c>
      <c r="G108" s="24">
        <v>4000</v>
      </c>
      <c r="H108" s="24">
        <v>0</v>
      </c>
      <c r="I108" s="24">
        <v>5000</v>
      </c>
      <c r="J108" s="24">
        <f>(1-$D108)*E108</f>
        <v>0</v>
      </c>
      <c r="K108" s="24">
        <f>(1-$D108)*F108</f>
        <v>21000</v>
      </c>
      <c r="L108" s="24">
        <f>G108</f>
        <v>4000</v>
      </c>
      <c r="M108" s="24">
        <f>(1-$D108)*H108</f>
        <v>0</v>
      </c>
      <c r="N108" s="24">
        <f>(1-$D108)*I108</f>
        <v>3750</v>
      </c>
      <c r="O108" s="24">
        <v>28850</v>
      </c>
      <c r="P108" s="24">
        <v>13230</v>
      </c>
      <c r="Q108" s="24">
        <v>0</v>
      </c>
      <c r="R108" s="24">
        <v>0</v>
      </c>
      <c r="S108" s="24">
        <v>0</v>
      </c>
      <c r="T108" s="24">
        <v>6000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>SUM(J108:Y108)</f>
        <v>76830</v>
      </c>
      <c r="AA108" s="24">
        <v>0</v>
      </c>
      <c r="AB108" s="20">
        <f>Z108-AA108</f>
        <v>76830</v>
      </c>
      <c r="AC108" s="24" t="str">
        <f>IF(AND($T108=6000, ($T108+$W108-$AB108)&gt;=6000),T108,"")</f>
        <v/>
      </c>
      <c r="AD108" s="24" t="str">
        <f>IF(AND($T108=8000, ($T108+$W108-$AB108)&gt;=8000),T108,"")</f>
        <v/>
      </c>
      <c r="AE108" s="24" t="str">
        <f>IF(($T108+$W108-$AB108)&gt;=$T108+8000,W108,"")</f>
        <v/>
      </c>
    </row>
    <row r="109" spans="1:31" x14ac:dyDescent="0.25">
      <c r="A109" s="22" t="s">
        <v>64</v>
      </c>
      <c r="B109" s="22" t="s">
        <v>77</v>
      </c>
      <c r="C109" s="22" t="s">
        <v>249</v>
      </c>
      <c r="D109" s="23">
        <v>0</v>
      </c>
      <c r="E109" s="24">
        <v>0</v>
      </c>
      <c r="F109" s="24">
        <v>28000</v>
      </c>
      <c r="G109" s="24">
        <v>4000</v>
      </c>
      <c r="H109" s="24">
        <v>0</v>
      </c>
      <c r="I109" s="24">
        <v>5000</v>
      </c>
      <c r="J109" s="24">
        <f>(1-$D109)*E109</f>
        <v>0</v>
      </c>
      <c r="K109" s="24">
        <f>(1-$D109)*F109</f>
        <v>28000</v>
      </c>
      <c r="L109" s="24">
        <f>G109</f>
        <v>4000</v>
      </c>
      <c r="M109" s="24">
        <f>(1-$D109)*H109</f>
        <v>0</v>
      </c>
      <c r="N109" s="24">
        <f>(1-$D109)*I109</f>
        <v>5000</v>
      </c>
      <c r="O109" s="24">
        <v>28850</v>
      </c>
      <c r="P109" s="24">
        <v>13230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>SUM(J109:Y109)</f>
        <v>79080</v>
      </c>
      <c r="AA109" s="24">
        <v>0</v>
      </c>
      <c r="AB109" s="20">
        <f>Z109-AA109</f>
        <v>79080</v>
      </c>
      <c r="AC109" s="24" t="str">
        <f>IF(AND($T109=6000, ($T109+$W109-$AB109)&gt;=6000),T109,"")</f>
        <v/>
      </c>
      <c r="AD109" s="24" t="str">
        <f>IF(AND($T109=8000, ($T109+$W109-$AB109)&gt;=8000),T109,"")</f>
        <v/>
      </c>
      <c r="AE109" s="24" t="str">
        <f>IF(($T109+$W109-$AB109)&gt;=$T109+8000,W109,"")</f>
        <v/>
      </c>
    </row>
    <row r="110" spans="1:31" x14ac:dyDescent="0.25">
      <c r="A110" s="22" t="s">
        <v>224</v>
      </c>
      <c r="B110" s="22" t="s">
        <v>225</v>
      </c>
      <c r="C110" s="22" t="s">
        <v>249</v>
      </c>
      <c r="D110" s="23">
        <v>0.25</v>
      </c>
      <c r="E110" s="24">
        <v>0</v>
      </c>
      <c r="F110" s="24">
        <v>28000</v>
      </c>
      <c r="G110" s="24">
        <v>4000</v>
      </c>
      <c r="H110" s="24">
        <v>0</v>
      </c>
      <c r="I110" s="24">
        <v>5000</v>
      </c>
      <c r="J110" s="24">
        <f>(1-$D110)*E110</f>
        <v>0</v>
      </c>
      <c r="K110" s="24">
        <f>(1-$D110)*F110</f>
        <v>21000</v>
      </c>
      <c r="L110" s="24">
        <f>G110</f>
        <v>4000</v>
      </c>
      <c r="M110" s="24">
        <f>(1-$D110)*H110</f>
        <v>0</v>
      </c>
      <c r="N110" s="24">
        <f>(1-$D110)*I110</f>
        <v>3750</v>
      </c>
      <c r="O110" s="24">
        <v>28850</v>
      </c>
      <c r="P110" s="24">
        <v>13230</v>
      </c>
      <c r="Q110" s="24">
        <v>0</v>
      </c>
      <c r="R110" s="24">
        <v>0</v>
      </c>
      <c r="S110" s="24">
        <v>0</v>
      </c>
      <c r="T110" s="24">
        <v>6000</v>
      </c>
      <c r="U110" s="24">
        <v>0</v>
      </c>
      <c r="V110" s="24">
        <v>0</v>
      </c>
      <c r="W110" s="24">
        <v>0</v>
      </c>
      <c r="X110" s="24">
        <v>0</v>
      </c>
      <c r="Y110" s="24">
        <v>24395</v>
      </c>
      <c r="Z110" s="24">
        <f>SUM(J110:Y110)</f>
        <v>101225</v>
      </c>
      <c r="AA110" s="24">
        <v>0</v>
      </c>
      <c r="AB110" s="20">
        <f>Z110-AA110</f>
        <v>101225</v>
      </c>
      <c r="AC110" s="24" t="str">
        <f>IF(AND($T110=6000, ($T110+$W110-$AB110)&gt;=6000),T110,"")</f>
        <v/>
      </c>
      <c r="AD110" s="24" t="str">
        <f>IF(AND($T110=8000, ($T110+$W110-$AB110)&gt;=8000),T110,"")</f>
        <v/>
      </c>
      <c r="AE110" s="24" t="str">
        <f>IF(($T110+$W110-$AB110)&gt;=$T110+8000,W110,"")</f>
        <v/>
      </c>
    </row>
    <row r="111" spans="1:31" x14ac:dyDescent="0.25">
      <c r="A111" s="22" t="s">
        <v>125</v>
      </c>
      <c r="B111" s="22" t="s">
        <v>129</v>
      </c>
      <c r="C111" s="22" t="s">
        <v>249</v>
      </c>
      <c r="D111" s="23">
        <v>0.25</v>
      </c>
      <c r="E111" s="24">
        <v>0</v>
      </c>
      <c r="F111" s="24">
        <v>28000</v>
      </c>
      <c r="G111" s="24">
        <v>4000</v>
      </c>
      <c r="H111" s="24">
        <v>0</v>
      </c>
      <c r="I111" s="24">
        <v>5000</v>
      </c>
      <c r="J111" s="24">
        <f>(1-$D111)*E111</f>
        <v>0</v>
      </c>
      <c r="K111" s="24">
        <f>(1-$D111)*F111</f>
        <v>21000</v>
      </c>
      <c r="L111" s="24">
        <f>G111</f>
        <v>4000</v>
      </c>
      <c r="M111" s="24">
        <f>(1-$D111)*H111</f>
        <v>0</v>
      </c>
      <c r="N111" s="24">
        <f>(1-$D111)*I111</f>
        <v>3750</v>
      </c>
      <c r="O111" s="24">
        <v>28850</v>
      </c>
      <c r="P111" s="24">
        <v>13230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>SUM(J111:Y111)</f>
        <v>76830</v>
      </c>
      <c r="AA111" s="24">
        <v>0</v>
      </c>
      <c r="AB111" s="20">
        <f>Z111-AA111</f>
        <v>76830</v>
      </c>
      <c r="AC111" s="24" t="str">
        <f>IF(AND($T111=6000, ($T111+$W111-$AB111)&gt;=6000),T111,"")</f>
        <v/>
      </c>
      <c r="AD111" s="24" t="str">
        <f>IF(AND($T111=8000, ($T111+$W111-$AB111)&gt;=8000),T111,"")</f>
        <v/>
      </c>
      <c r="AE111" s="24" t="str">
        <f>IF(($T111+$W111-$AB111)&gt;=$T111+8000,W111,"")</f>
        <v/>
      </c>
    </row>
    <row r="112" spans="1:31" x14ac:dyDescent="0.25">
      <c r="A112" s="22" t="s">
        <v>34</v>
      </c>
      <c r="B112" s="22" t="s">
        <v>35</v>
      </c>
      <c r="C112" s="22" t="s">
        <v>97</v>
      </c>
      <c r="D112" s="23">
        <v>0.25</v>
      </c>
      <c r="E112" s="24">
        <v>0</v>
      </c>
      <c r="F112" s="24">
        <v>40000</v>
      </c>
      <c r="G112" s="24">
        <v>5000</v>
      </c>
      <c r="H112" s="24">
        <v>2000</v>
      </c>
      <c r="I112" s="24">
        <v>8000</v>
      </c>
      <c r="J112" s="24">
        <f>(1-$D112)*E112</f>
        <v>0</v>
      </c>
      <c r="K112" s="24">
        <f>(1-$D112)*F112</f>
        <v>30000</v>
      </c>
      <c r="L112" s="24">
        <f>G112</f>
        <v>5000</v>
      </c>
      <c r="M112" s="24">
        <f>(1-$D112)*H112</f>
        <v>1500</v>
      </c>
      <c r="N112" s="24">
        <f>(1-$D112)*I112</f>
        <v>6000</v>
      </c>
      <c r="O112" s="24">
        <v>11880</v>
      </c>
      <c r="P112" s="24">
        <v>14330</v>
      </c>
      <c r="Q112" s="24">
        <v>20000</v>
      </c>
      <c r="R112" s="24">
        <v>0</v>
      </c>
      <c r="S112" s="24">
        <v>0</v>
      </c>
      <c r="T112" s="24">
        <v>8000</v>
      </c>
      <c r="U112" s="24">
        <v>0</v>
      </c>
      <c r="V112" s="24">
        <v>0</v>
      </c>
      <c r="W112" s="24">
        <v>0</v>
      </c>
      <c r="X112" s="24">
        <v>0</v>
      </c>
      <c r="Y112" s="24">
        <v>540</v>
      </c>
      <c r="Z112" s="24">
        <f>SUM(J112:Y112)</f>
        <v>97250</v>
      </c>
      <c r="AA112" s="24">
        <v>0</v>
      </c>
      <c r="AB112" s="20">
        <f>Z112-AA112</f>
        <v>97250</v>
      </c>
      <c r="AC112" s="24" t="str">
        <f>IF(AND($T112=6000, ($T112+$W112-$AB112)&gt;=6000),T112,"")</f>
        <v/>
      </c>
      <c r="AD112" s="24" t="str">
        <f>IF(AND($T112=8000, ($T112+$W112-$AB112)&gt;=8000),T112,"")</f>
        <v/>
      </c>
      <c r="AE112" s="24" t="str">
        <f>IF(($T112+$W112-$AB112)&gt;=$T112+8000,W112,"")</f>
        <v/>
      </c>
    </row>
    <row r="113" spans="1:31" x14ac:dyDescent="0.25">
      <c r="A113" s="22" t="s">
        <v>193</v>
      </c>
      <c r="B113" s="22" t="s">
        <v>194</v>
      </c>
      <c r="C113" s="22" t="s">
        <v>70</v>
      </c>
      <c r="D113" s="23">
        <v>0</v>
      </c>
      <c r="E113" s="24">
        <v>0</v>
      </c>
      <c r="F113" s="24">
        <v>40000</v>
      </c>
      <c r="G113" s="24">
        <v>5000</v>
      </c>
      <c r="H113" s="24">
        <v>2000</v>
      </c>
      <c r="I113" s="24">
        <v>8000</v>
      </c>
      <c r="J113" s="24">
        <f>(1-$D113)*E113</f>
        <v>0</v>
      </c>
      <c r="K113" s="24">
        <f>(1-$D113)*F113</f>
        <v>40000</v>
      </c>
      <c r="L113" s="24">
        <f>G113</f>
        <v>5000</v>
      </c>
      <c r="M113" s="24">
        <f>(1-$D113)*H113</f>
        <v>2000</v>
      </c>
      <c r="N113" s="24">
        <f>(1-$D113)*I113</f>
        <v>8000</v>
      </c>
      <c r="O113" s="24">
        <v>11880</v>
      </c>
      <c r="P113" s="24">
        <v>14330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>SUM(J113:Y113)</f>
        <v>81210</v>
      </c>
      <c r="AA113" s="24">
        <v>0</v>
      </c>
      <c r="AB113" s="20">
        <f>Z113-AA113</f>
        <v>81210</v>
      </c>
      <c r="AC113" s="24" t="str">
        <f>IF(AND($T113=6000, ($T113+$W113-$AB113)&gt;=6000),T113,"")</f>
        <v/>
      </c>
      <c r="AD113" s="24" t="str">
        <f>IF(AND($T113=8000, ($T113+$W113-$AB113)&gt;=8000),T113,"")</f>
        <v/>
      </c>
      <c r="AE113" s="24" t="str">
        <f>IF(($T113+$W113-$AB113)&gt;=$T113+8000,W113,"")</f>
        <v/>
      </c>
    </row>
    <row r="114" spans="1:31" x14ac:dyDescent="0.25">
      <c r="A114" s="22" t="s">
        <v>38</v>
      </c>
      <c r="B114" s="22" t="s">
        <v>200</v>
      </c>
      <c r="C114" s="22" t="s">
        <v>70</v>
      </c>
      <c r="D114" s="23">
        <v>0</v>
      </c>
      <c r="E114" s="24">
        <v>0</v>
      </c>
      <c r="F114" s="24">
        <v>40000</v>
      </c>
      <c r="G114" s="24">
        <v>5000</v>
      </c>
      <c r="H114" s="24">
        <v>2000</v>
      </c>
      <c r="I114" s="24">
        <v>8000</v>
      </c>
      <c r="J114" s="24">
        <f>(1-$D114)*E114</f>
        <v>0</v>
      </c>
      <c r="K114" s="24">
        <f>(1-$D114)*F114</f>
        <v>40000</v>
      </c>
      <c r="L114" s="24">
        <f>G114</f>
        <v>5000</v>
      </c>
      <c r="M114" s="24">
        <f>(1-$D114)*H114</f>
        <v>2000</v>
      </c>
      <c r="N114" s="24">
        <f>(1-$D114)*I114</f>
        <v>8000</v>
      </c>
      <c r="O114" s="24">
        <v>11880</v>
      </c>
      <c r="P114" s="24">
        <v>14330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f>SUM(J114:Y114)</f>
        <v>81210</v>
      </c>
      <c r="AA114" s="24">
        <v>0</v>
      </c>
      <c r="AB114" s="20">
        <f>Z114-AA114</f>
        <v>81210</v>
      </c>
      <c r="AC114" s="24" t="str">
        <f>IF(AND($T114=6000, ($T114+$W114-$AB114)&gt;=6000),T114,"")</f>
        <v/>
      </c>
      <c r="AD114" s="24" t="str">
        <f>IF(AND($T114=8000, ($T114+$W114-$AB114)&gt;=8000),T114,"")</f>
        <v/>
      </c>
      <c r="AE114" s="24" t="str">
        <f>IF(($T114+$W114-$AB114)&gt;=$T114+8000,W114,"")</f>
        <v/>
      </c>
    </row>
    <row r="115" spans="1:31" x14ac:dyDescent="0.25">
      <c r="A115" s="22" t="s">
        <v>71</v>
      </c>
      <c r="B115" s="22" t="s">
        <v>72</v>
      </c>
      <c r="C115" s="22" t="s">
        <v>70</v>
      </c>
      <c r="D115" s="23">
        <v>0</v>
      </c>
      <c r="E115" s="24">
        <v>0</v>
      </c>
      <c r="F115" s="24">
        <v>40000</v>
      </c>
      <c r="G115" s="24">
        <v>5000</v>
      </c>
      <c r="H115" s="24">
        <v>2000</v>
      </c>
      <c r="I115" s="24">
        <v>8000</v>
      </c>
      <c r="J115" s="24">
        <f>(1-$D115)*E115</f>
        <v>0</v>
      </c>
      <c r="K115" s="24">
        <f>(1-$D115)*F115</f>
        <v>40000</v>
      </c>
      <c r="L115" s="24">
        <f>G115</f>
        <v>5000</v>
      </c>
      <c r="M115" s="24">
        <f>(1-$D115)*H115</f>
        <v>2000</v>
      </c>
      <c r="N115" s="24">
        <f>(1-$D115)*I115</f>
        <v>8000</v>
      </c>
      <c r="O115" s="24">
        <v>11880</v>
      </c>
      <c r="P115" s="24">
        <v>14330</v>
      </c>
      <c r="Q115" s="24">
        <v>0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120</v>
      </c>
      <c r="Z115" s="24">
        <f>SUM(J115:Y115)</f>
        <v>81330</v>
      </c>
      <c r="AA115" s="24">
        <v>0</v>
      </c>
      <c r="AB115" s="20">
        <f>Z115-AA115</f>
        <v>81330</v>
      </c>
      <c r="AC115" s="24" t="str">
        <f>IF(AND($T115=6000, ($T115+$W115-$AB115)&gt;=6000),T115,"")</f>
        <v/>
      </c>
      <c r="AD115" s="24" t="str">
        <f>IF(AND($T115=8000, ($T115+$W115-$AB115)&gt;=8000),T115,"")</f>
        <v/>
      </c>
      <c r="AE115" s="24" t="str">
        <f>IF(($T115+$W115-$AB115)&gt;=$T115+8000,W115,"")</f>
        <v/>
      </c>
    </row>
    <row r="116" spans="1:31" x14ac:dyDescent="0.25">
      <c r="A116" s="22" t="s">
        <v>191</v>
      </c>
      <c r="B116" s="22" t="s">
        <v>192</v>
      </c>
      <c r="C116" s="22" t="s">
        <v>70</v>
      </c>
      <c r="D116" s="23">
        <v>0.25</v>
      </c>
      <c r="E116" s="24">
        <v>0</v>
      </c>
      <c r="F116" s="24">
        <v>40000</v>
      </c>
      <c r="G116" s="24">
        <v>5000</v>
      </c>
      <c r="H116" s="24">
        <v>2000</v>
      </c>
      <c r="I116" s="24">
        <v>8000</v>
      </c>
      <c r="J116" s="24">
        <f>(1-$D116)*E116</f>
        <v>0</v>
      </c>
      <c r="K116" s="24">
        <f>(1-$D116)*F116</f>
        <v>30000</v>
      </c>
      <c r="L116" s="24">
        <f>G116</f>
        <v>5000</v>
      </c>
      <c r="M116" s="24">
        <f>(1-$D116)*H116</f>
        <v>1500</v>
      </c>
      <c r="N116" s="24">
        <f>(1-$D116)*I116</f>
        <v>6000</v>
      </c>
      <c r="O116" s="24">
        <v>11880</v>
      </c>
      <c r="P116" s="24">
        <v>14330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>SUM(J116:Y116)</f>
        <v>68710</v>
      </c>
      <c r="AA116" s="24">
        <v>0</v>
      </c>
      <c r="AB116" s="20">
        <f>Z116-AA116</f>
        <v>68710</v>
      </c>
      <c r="AC116" s="24" t="str">
        <f>IF(AND($T116=6000, ($T116+$W116-$AB116)&gt;=6000),T116,"")</f>
        <v/>
      </c>
      <c r="AD116" s="24" t="str">
        <f>IF(AND($T116=8000, ($T116+$W116-$AB116)&gt;=8000),T116,"")</f>
        <v/>
      </c>
      <c r="AE116" s="24" t="str">
        <f>IF(($T116+$W116-$AB116)&gt;=$T116+8000,W116,"")</f>
        <v/>
      </c>
    </row>
    <row r="117" spans="1:31" x14ac:dyDescent="0.25">
      <c r="A117" s="22" t="s">
        <v>89</v>
      </c>
      <c r="B117" s="22" t="s">
        <v>90</v>
      </c>
      <c r="C117" s="22" t="s">
        <v>70</v>
      </c>
      <c r="D117" s="23">
        <v>1</v>
      </c>
      <c r="E117" s="24">
        <v>0</v>
      </c>
      <c r="F117" s="24">
        <v>40000</v>
      </c>
      <c r="G117" s="24">
        <v>5000</v>
      </c>
      <c r="H117" s="24">
        <v>2000</v>
      </c>
      <c r="I117" s="24">
        <v>8000</v>
      </c>
      <c r="J117" s="24">
        <f>(1-$D117)*E117</f>
        <v>0</v>
      </c>
      <c r="K117" s="24">
        <f>(1-$D117)*F117</f>
        <v>0</v>
      </c>
      <c r="L117" s="24">
        <f>G117</f>
        <v>5000</v>
      </c>
      <c r="M117" s="24">
        <f>(1-$D117)*H117</f>
        <v>0</v>
      </c>
      <c r="N117" s="24">
        <f>(1-$D117)*I117</f>
        <v>0</v>
      </c>
      <c r="O117" s="24">
        <v>11880</v>
      </c>
      <c r="P117" s="24">
        <v>14330</v>
      </c>
      <c r="Q117" s="24">
        <v>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>SUM(J117:Y117)</f>
        <v>31210</v>
      </c>
      <c r="AA117" s="24">
        <v>0</v>
      </c>
      <c r="AB117" s="20">
        <f>Z117-AA117</f>
        <v>31210</v>
      </c>
      <c r="AC117" s="24" t="str">
        <f>IF(AND($T117=6000, ($T117+$W117-$AB117)&gt;=6000),T117,"")</f>
        <v/>
      </c>
      <c r="AD117" s="24" t="str">
        <f>IF(AND($T117=8000, ($T117+$W117-$AB117)&gt;=8000),T117,"")</f>
        <v/>
      </c>
      <c r="AE117" s="24" t="str">
        <f>IF(($T117+$W117-$AB117)&gt;=$T117+8000,W117,"")</f>
        <v/>
      </c>
    </row>
    <row r="118" spans="1:31" x14ac:dyDescent="0.25">
      <c r="A118" s="22" t="s">
        <v>125</v>
      </c>
      <c r="B118" s="22" t="s">
        <v>126</v>
      </c>
      <c r="C118" s="22" t="s">
        <v>70</v>
      </c>
      <c r="D118" s="23">
        <v>0.25</v>
      </c>
      <c r="E118" s="24">
        <v>0</v>
      </c>
      <c r="F118" s="24">
        <v>40000</v>
      </c>
      <c r="G118" s="24">
        <v>5000</v>
      </c>
      <c r="H118" s="24">
        <v>2000</v>
      </c>
      <c r="I118" s="24">
        <v>8000</v>
      </c>
      <c r="J118" s="24">
        <f>(1-$D118)*E118</f>
        <v>0</v>
      </c>
      <c r="K118" s="24">
        <f>(1-$D118)*F118</f>
        <v>30000</v>
      </c>
      <c r="L118" s="24">
        <f>G118</f>
        <v>5000</v>
      </c>
      <c r="M118" s="24">
        <f>(1-$D118)*H118</f>
        <v>1500</v>
      </c>
      <c r="N118" s="24">
        <f>(1-$D118)*I118</f>
        <v>6000</v>
      </c>
      <c r="O118" s="24">
        <v>11880</v>
      </c>
      <c r="P118" s="24">
        <v>14330</v>
      </c>
      <c r="Q118" s="24">
        <v>0</v>
      </c>
      <c r="R118" s="24">
        <v>0</v>
      </c>
      <c r="S118" s="24">
        <v>0</v>
      </c>
      <c r="T118" s="24">
        <v>8000</v>
      </c>
      <c r="U118" s="24">
        <v>0</v>
      </c>
      <c r="V118" s="24">
        <v>0</v>
      </c>
      <c r="W118" s="24">
        <v>0</v>
      </c>
      <c r="X118" s="24">
        <v>0</v>
      </c>
      <c r="Y118" s="24">
        <v>2660</v>
      </c>
      <c r="Z118" s="24">
        <f>SUM(J118:Y118)</f>
        <v>79370</v>
      </c>
      <c r="AA118" s="24">
        <v>0</v>
      </c>
      <c r="AB118" s="20">
        <f>Z118-AA118</f>
        <v>79370</v>
      </c>
      <c r="AC118" s="24" t="str">
        <f>IF(AND($T118=6000, ($T118+$W118-$AB118)&gt;=6000),T118,"")</f>
        <v/>
      </c>
      <c r="AD118" s="24" t="str">
        <f>IF(AND($T118=8000, ($T118+$W118-$AB118)&gt;=8000),T118,"")</f>
        <v/>
      </c>
      <c r="AE118" s="24" t="str">
        <f>IF(($T118+$W118-$AB118)&gt;=$T118+8000,W118,"")</f>
        <v/>
      </c>
    </row>
    <row r="119" spans="1:31" x14ac:dyDescent="0.25">
      <c r="A119" s="22" t="s">
        <v>130</v>
      </c>
      <c r="B119" s="22" t="s">
        <v>132</v>
      </c>
      <c r="C119" s="22" t="s">
        <v>70</v>
      </c>
      <c r="D119" s="23">
        <v>0.25</v>
      </c>
      <c r="E119" s="24">
        <v>0</v>
      </c>
      <c r="F119" s="24">
        <v>40000</v>
      </c>
      <c r="G119" s="24">
        <v>5000</v>
      </c>
      <c r="H119" s="24">
        <v>2000</v>
      </c>
      <c r="I119" s="24">
        <v>8000</v>
      </c>
      <c r="J119" s="24">
        <f>(1-$D119)*E119</f>
        <v>0</v>
      </c>
      <c r="K119" s="24">
        <f>(1-$D119)*F119</f>
        <v>30000</v>
      </c>
      <c r="L119" s="24">
        <f>G119</f>
        <v>5000</v>
      </c>
      <c r="M119" s="24">
        <f>(1-$D119)*H119</f>
        <v>1500</v>
      </c>
      <c r="N119" s="24">
        <f>(1-$D119)*I119</f>
        <v>6000</v>
      </c>
      <c r="O119" s="24">
        <v>11880</v>
      </c>
      <c r="P119" s="24">
        <v>14330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>SUM(J119:Y119)</f>
        <v>68710</v>
      </c>
      <c r="AA119" s="24">
        <v>0</v>
      </c>
      <c r="AB119" s="20">
        <f>Z119-AA119</f>
        <v>68710</v>
      </c>
      <c r="AC119" s="24" t="str">
        <f>IF(AND($T119=6000, ($T119+$W119-$AB119)&gt;=6000),T119,"")</f>
        <v/>
      </c>
      <c r="AD119" s="24" t="str">
        <f>IF(AND($T119=8000, ($T119+$W119-$AB119)&gt;=8000),T119,"")</f>
        <v/>
      </c>
      <c r="AE119" s="24" t="str">
        <f>IF(($T119+$W119-$AB119)&gt;=$T119+8000,W119,"")</f>
        <v/>
      </c>
    </row>
    <row r="120" spans="1:31" x14ac:dyDescent="0.25">
      <c r="A120" s="22" t="s">
        <v>95</v>
      </c>
      <c r="B120" s="22" t="s">
        <v>96</v>
      </c>
      <c r="C120" s="22" t="s">
        <v>52</v>
      </c>
      <c r="D120" s="23">
        <v>0</v>
      </c>
      <c r="E120" s="24">
        <v>0</v>
      </c>
      <c r="F120" s="24">
        <v>40000</v>
      </c>
      <c r="G120" s="24">
        <v>5000</v>
      </c>
      <c r="H120" s="24">
        <v>2000</v>
      </c>
      <c r="I120" s="24">
        <v>8000</v>
      </c>
      <c r="J120" s="24">
        <f>(1-$D120)*E120</f>
        <v>0</v>
      </c>
      <c r="K120" s="24">
        <f>(1-$D120)*F120</f>
        <v>40000</v>
      </c>
      <c r="L120" s="24">
        <f>G120</f>
        <v>5000</v>
      </c>
      <c r="M120" s="24">
        <f>(1-$D120)*H120</f>
        <v>2000</v>
      </c>
      <c r="N120" s="24">
        <f>(1-$D120)*I120</f>
        <v>8000</v>
      </c>
      <c r="O120" s="24">
        <v>11880</v>
      </c>
      <c r="P120" s="24">
        <v>14330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5830</v>
      </c>
      <c r="Z120" s="24">
        <f>SUM(J120:Y120)</f>
        <v>87040</v>
      </c>
      <c r="AA120" s="24">
        <v>0</v>
      </c>
      <c r="AB120" s="20">
        <f>Z120-AA120</f>
        <v>87040</v>
      </c>
      <c r="AC120" s="24" t="str">
        <f>IF(AND($T120=6000, ($T120+$W120-$AB120)&gt;=6000),T120,"")</f>
        <v/>
      </c>
      <c r="AD120" s="24" t="str">
        <f>IF(AND($T120=8000, ($T120+$W120-$AB120)&gt;=8000),T120,"")</f>
        <v/>
      </c>
      <c r="AE120" s="24" t="str">
        <f>IF(($T120+$W120-$AB120)&gt;=$T120+8000,W120,"")</f>
        <v/>
      </c>
    </row>
    <row r="121" spans="1:31" x14ac:dyDescent="0.25">
      <c r="A121" s="25"/>
      <c r="B121" s="25"/>
      <c r="C121" s="25"/>
      <c r="D121" s="26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>
        <f>SUM(Y2:Y120)</f>
        <v>188670</v>
      </c>
      <c r="Z121" s="27">
        <f>SUM(Z2:Z120)</f>
        <v>7251495</v>
      </c>
      <c r="AA121" s="27">
        <f>SUM(AA2:AA120)</f>
        <v>48000</v>
      </c>
      <c r="AB121" s="27">
        <f>SUM(AB2:AB120)</f>
        <v>7203495</v>
      </c>
      <c r="AC121" s="27">
        <f>SUM(AC2:AC120)</f>
        <v>0</v>
      </c>
      <c r="AD121" s="27">
        <f>SUM(AD2:AD120)</f>
        <v>0</v>
      </c>
      <c r="AE121" s="27">
        <f>SUM(AE2:AE120)</f>
        <v>0</v>
      </c>
    </row>
    <row r="122" spans="1:31" x14ac:dyDescent="0.25">
      <c r="A122" s="28"/>
      <c r="B122" s="28"/>
      <c r="C122" s="28"/>
      <c r="D122" s="29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1"/>
      <c r="AC122" s="32"/>
      <c r="AD122" s="32"/>
    </row>
    <row r="123" spans="1:31" x14ac:dyDescent="0.25">
      <c r="A123" s="28"/>
      <c r="B123" s="28"/>
      <c r="C123" s="28"/>
      <c r="D123" s="29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1"/>
      <c r="AC123" s="32"/>
      <c r="AD123" s="32"/>
    </row>
    <row r="124" spans="1:31" x14ac:dyDescent="0.25">
      <c r="A124" s="28"/>
      <c r="B124" s="28"/>
      <c r="C124" s="28"/>
      <c r="D124" s="29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1"/>
      <c r="AC124" s="32"/>
      <c r="AD124" s="32"/>
    </row>
    <row r="125" spans="1:31" x14ac:dyDescent="0.25">
      <c r="A125" s="28"/>
      <c r="B125" s="28"/>
      <c r="C125" s="28"/>
      <c r="D125" s="29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1"/>
      <c r="AC125" s="32"/>
      <c r="AD125" s="32"/>
    </row>
    <row r="126" spans="1:31" x14ac:dyDescent="0.25">
      <c r="A126" s="28"/>
      <c r="B126" s="28"/>
      <c r="C126" s="28"/>
      <c r="D126" s="29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1"/>
      <c r="AC126" s="32"/>
      <c r="AD126" s="32"/>
    </row>
    <row r="127" spans="1:31" x14ac:dyDescent="0.25">
      <c r="A127" s="28"/>
      <c r="B127" s="28"/>
      <c r="C127" s="28"/>
      <c r="D127" s="29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1"/>
      <c r="AC127" s="32"/>
      <c r="AD127" s="32"/>
    </row>
    <row r="128" spans="1:31" x14ac:dyDescent="0.25">
      <c r="A128" s="28"/>
      <c r="B128" s="28"/>
      <c r="C128" s="28"/>
      <c r="D128" s="29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1"/>
      <c r="AC128" s="32"/>
      <c r="AD128" s="32"/>
    </row>
    <row r="129" spans="1:30" x14ac:dyDescent="0.25">
      <c r="A129" s="28"/>
      <c r="B129" s="28"/>
      <c r="C129" s="28"/>
      <c r="D129" s="29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1"/>
      <c r="AC129" s="32"/>
      <c r="AD129" s="32"/>
    </row>
    <row r="130" spans="1:30" x14ac:dyDescent="0.25">
      <c r="A130" s="28"/>
      <c r="B130" s="28"/>
      <c r="C130" s="28"/>
      <c r="D130" s="29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1"/>
      <c r="AC130" s="32"/>
      <c r="AD130" s="32"/>
    </row>
    <row r="131" spans="1:30" x14ac:dyDescent="0.25">
      <c r="A131" s="28"/>
      <c r="B131" s="28"/>
      <c r="C131" s="28"/>
      <c r="D131" s="29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1"/>
      <c r="AC131" s="32"/>
      <c r="AD131" s="32"/>
    </row>
    <row r="132" spans="1:30" x14ac:dyDescent="0.25">
      <c r="A132" s="28"/>
      <c r="B132" s="28"/>
      <c r="C132" s="28"/>
      <c r="D132" s="29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1"/>
      <c r="AC132" s="32"/>
      <c r="AD132" s="32"/>
    </row>
    <row r="133" spans="1:30" x14ac:dyDescent="0.25">
      <c r="A133" s="28"/>
      <c r="B133" s="28"/>
      <c r="C133" s="28"/>
      <c r="D133" s="29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1"/>
      <c r="AC133" s="32"/>
      <c r="AD133" s="32"/>
    </row>
    <row r="134" spans="1:30" x14ac:dyDescent="0.25">
      <c r="A134" s="28"/>
      <c r="B134" s="28"/>
      <c r="C134" s="28"/>
      <c r="D134" s="29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1"/>
      <c r="AC134" s="32"/>
      <c r="AD134" s="32"/>
    </row>
    <row r="135" spans="1:30" x14ac:dyDescent="0.25">
      <c r="A135" s="28"/>
      <c r="B135" s="28"/>
      <c r="C135" s="28"/>
      <c r="D135" s="29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1"/>
      <c r="AC135" s="32"/>
      <c r="AD135" s="32"/>
    </row>
    <row r="136" spans="1:30" x14ac:dyDescent="0.25">
      <c r="A136" s="28"/>
      <c r="B136" s="28"/>
      <c r="C136" s="28"/>
      <c r="D136" s="29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1"/>
      <c r="AC136" s="32"/>
      <c r="AD136" s="32"/>
    </row>
    <row r="137" spans="1:30" x14ac:dyDescent="0.25">
      <c r="A137" s="28"/>
      <c r="B137" s="28"/>
      <c r="C137" s="28"/>
      <c r="D137" s="29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1"/>
      <c r="AC137" s="32"/>
      <c r="AD137" s="32"/>
    </row>
    <row r="138" spans="1:30" x14ac:dyDescent="0.25">
      <c r="A138" s="28"/>
      <c r="B138" s="28"/>
      <c r="C138" s="28"/>
      <c r="D138" s="29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1"/>
      <c r="AC138" s="32"/>
      <c r="AD138" s="32"/>
    </row>
    <row r="139" spans="1:30" x14ac:dyDescent="0.25">
      <c r="A139" s="28"/>
      <c r="B139" s="28"/>
      <c r="C139" s="28"/>
      <c r="D139" s="29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1"/>
      <c r="AC139" s="32"/>
      <c r="AD139" s="32"/>
    </row>
    <row r="140" spans="1:30" x14ac:dyDescent="0.25">
      <c r="A140" s="28"/>
      <c r="B140" s="28"/>
      <c r="C140" s="28"/>
      <c r="D140" s="29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1"/>
      <c r="AC140" s="32"/>
      <c r="AD140" s="32"/>
    </row>
    <row r="141" spans="1:30" x14ac:dyDescent="0.25">
      <c r="A141" s="28"/>
      <c r="B141" s="28"/>
      <c r="C141" s="28"/>
      <c r="D141" s="29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1"/>
      <c r="AC141" s="32"/>
      <c r="AD141" s="32"/>
    </row>
    <row r="142" spans="1:30" x14ac:dyDescent="0.25">
      <c r="A142" s="28"/>
      <c r="B142" s="28"/>
      <c r="C142" s="28"/>
      <c r="D142" s="29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1"/>
      <c r="AC142" s="32"/>
      <c r="AD142" s="32"/>
    </row>
    <row r="143" spans="1:30" x14ac:dyDescent="0.25">
      <c r="A143" s="28"/>
      <c r="B143" s="28"/>
      <c r="C143" s="28"/>
      <c r="D143" s="29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1"/>
      <c r="AC143" s="32"/>
      <c r="AD143" s="32"/>
    </row>
    <row r="144" spans="1:30" x14ac:dyDescent="0.25">
      <c r="A144" s="28"/>
      <c r="B144" s="28"/>
      <c r="C144" s="28"/>
      <c r="D144" s="29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1"/>
      <c r="AC144" s="32"/>
      <c r="AD144" s="32"/>
    </row>
    <row r="145" spans="1:30" x14ac:dyDescent="0.25">
      <c r="A145" s="28"/>
      <c r="B145" s="28"/>
      <c r="C145" s="28"/>
      <c r="D145" s="29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1"/>
      <c r="AC145" s="32"/>
      <c r="AD145" s="32"/>
    </row>
    <row r="146" spans="1:30" x14ac:dyDescent="0.25">
      <c r="A146" s="28"/>
      <c r="B146" s="28"/>
      <c r="C146" s="28"/>
      <c r="D146" s="29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1"/>
      <c r="AC146" s="32"/>
      <c r="AD146" s="32"/>
    </row>
    <row r="147" spans="1:30" x14ac:dyDescent="0.25">
      <c r="A147" s="28"/>
      <c r="B147" s="28"/>
      <c r="C147" s="28"/>
      <c r="D147" s="29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1"/>
      <c r="AC147" s="32"/>
      <c r="AD147" s="32"/>
    </row>
    <row r="148" spans="1:30" x14ac:dyDescent="0.25">
      <c r="A148" s="28"/>
      <c r="B148" s="28"/>
      <c r="C148" s="28"/>
      <c r="D148" s="29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1"/>
      <c r="AC148" s="32"/>
      <c r="AD148" s="32"/>
    </row>
    <row r="149" spans="1:30" x14ac:dyDescent="0.25">
      <c r="A149" s="28"/>
      <c r="B149" s="28"/>
      <c r="C149" s="28"/>
      <c r="D149" s="29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1"/>
      <c r="AC149" s="32"/>
      <c r="AD149" s="32"/>
    </row>
    <row r="150" spans="1:30" x14ac:dyDescent="0.25">
      <c r="A150" s="28"/>
      <c r="B150" s="28"/>
      <c r="C150" s="28"/>
      <c r="D150" s="29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1"/>
      <c r="AC150" s="32"/>
      <c r="AD150" s="32"/>
    </row>
    <row r="151" spans="1:30" x14ac:dyDescent="0.25">
      <c r="A151" s="28"/>
      <c r="B151" s="28"/>
      <c r="C151" s="28"/>
      <c r="D151" s="29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1"/>
      <c r="AC151" s="32"/>
      <c r="AD151" s="32"/>
    </row>
    <row r="152" spans="1:30" x14ac:dyDescent="0.25">
      <c r="A152" s="28"/>
      <c r="B152" s="28"/>
      <c r="C152" s="28"/>
      <c r="D152" s="29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1"/>
      <c r="AC152" s="32"/>
      <c r="AD152" s="32"/>
    </row>
    <row r="153" spans="1:30" x14ac:dyDescent="0.25">
      <c r="A153" s="28"/>
      <c r="B153" s="28"/>
      <c r="C153" s="28"/>
      <c r="D153" s="29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1"/>
      <c r="AC153" s="32"/>
      <c r="AD153" s="32"/>
    </row>
    <row r="154" spans="1:30" x14ac:dyDescent="0.25">
      <c r="A154" s="28"/>
      <c r="B154" s="28"/>
      <c r="C154" s="28"/>
      <c r="D154" s="29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1"/>
      <c r="AC154" s="32"/>
      <c r="AD154" s="32"/>
    </row>
    <row r="155" spans="1:30" x14ac:dyDescent="0.25">
      <c r="A155" s="28"/>
      <c r="B155" s="28"/>
      <c r="C155" s="28"/>
      <c r="D155" s="29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1"/>
      <c r="AC155" s="32"/>
      <c r="AD155" s="32"/>
    </row>
    <row r="156" spans="1:30" x14ac:dyDescent="0.25">
      <c r="A156" s="28"/>
      <c r="B156" s="28"/>
      <c r="C156" s="28"/>
      <c r="D156" s="29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1"/>
      <c r="AC156" s="32"/>
      <c r="AD156" s="32"/>
    </row>
    <row r="157" spans="1:30" x14ac:dyDescent="0.25">
      <c r="A157" s="28"/>
      <c r="B157" s="28"/>
      <c r="C157" s="28"/>
      <c r="D157" s="29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1"/>
      <c r="AC157" s="32"/>
      <c r="AD157" s="32"/>
    </row>
    <row r="158" spans="1:30" x14ac:dyDescent="0.25">
      <c r="A158" s="28"/>
      <c r="B158" s="28"/>
      <c r="C158" s="28"/>
      <c r="D158" s="29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1"/>
      <c r="AC158" s="32"/>
      <c r="AD158" s="32"/>
    </row>
    <row r="159" spans="1:30" x14ac:dyDescent="0.25">
      <c r="A159" s="28"/>
      <c r="B159" s="28"/>
      <c r="C159" s="28"/>
      <c r="D159" s="29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1"/>
      <c r="AC159" s="32"/>
      <c r="AD159" s="32"/>
    </row>
    <row r="160" spans="1:30" x14ac:dyDescent="0.25">
      <c r="A160" s="28"/>
      <c r="B160" s="28"/>
      <c r="C160" s="28"/>
      <c r="D160" s="29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1"/>
      <c r="AC160" s="32"/>
      <c r="AD160" s="32"/>
    </row>
    <row r="161" spans="1:30" x14ac:dyDescent="0.25">
      <c r="A161" s="28"/>
      <c r="B161" s="28"/>
      <c r="C161" s="28"/>
      <c r="D161" s="29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1"/>
      <c r="AC161" s="32"/>
      <c r="AD161" s="32"/>
    </row>
    <row r="162" spans="1:30" x14ac:dyDescent="0.25">
      <c r="A162" s="28"/>
      <c r="B162" s="28"/>
      <c r="C162" s="28"/>
      <c r="D162" s="29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1"/>
      <c r="AC162" s="32"/>
      <c r="AD162" s="32"/>
    </row>
    <row r="163" spans="1:30" x14ac:dyDescent="0.25">
      <c r="A163" s="28"/>
      <c r="B163" s="28"/>
      <c r="C163" s="28"/>
      <c r="D163" s="29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1"/>
      <c r="AC163" s="32"/>
      <c r="AD163" s="32"/>
    </row>
    <row r="164" spans="1:30" x14ac:dyDescent="0.25">
      <c r="A164" s="28"/>
      <c r="B164" s="28"/>
      <c r="C164" s="28"/>
      <c r="D164" s="29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1"/>
      <c r="AC164" s="32"/>
      <c r="AD164" s="32"/>
    </row>
    <row r="165" spans="1:30" x14ac:dyDescent="0.25">
      <c r="A165" s="28"/>
      <c r="B165" s="28"/>
      <c r="C165" s="28"/>
      <c r="D165" s="29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1"/>
      <c r="AC165" s="32"/>
      <c r="AD165" s="32"/>
    </row>
    <row r="166" spans="1:30" x14ac:dyDescent="0.25">
      <c r="A166" s="28"/>
      <c r="B166" s="28"/>
      <c r="C166" s="28"/>
      <c r="D166" s="29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1"/>
      <c r="AC166" s="32"/>
      <c r="AD166" s="32"/>
    </row>
    <row r="167" spans="1:30" x14ac:dyDescent="0.25">
      <c r="A167" s="28"/>
      <c r="B167" s="28"/>
      <c r="C167" s="28"/>
      <c r="D167" s="29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1"/>
      <c r="AC167" s="32"/>
      <c r="AD167" s="32"/>
    </row>
    <row r="168" spans="1:30" x14ac:dyDescent="0.25">
      <c r="A168" s="28"/>
      <c r="B168" s="28"/>
      <c r="C168" s="28"/>
      <c r="D168" s="29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1"/>
      <c r="AC168" s="32"/>
      <c r="AD168" s="32"/>
    </row>
    <row r="169" spans="1:30" x14ac:dyDescent="0.25">
      <c r="A169" s="28"/>
      <c r="B169" s="28"/>
      <c r="C169" s="28"/>
      <c r="D169" s="29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1"/>
      <c r="AC169" s="32"/>
      <c r="AD169" s="32"/>
    </row>
    <row r="170" spans="1:30" x14ac:dyDescent="0.25">
      <c r="A170" s="28"/>
      <c r="B170" s="28"/>
      <c r="C170" s="28"/>
      <c r="D170" s="29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1"/>
      <c r="AC170" s="32"/>
      <c r="AD170" s="32"/>
    </row>
    <row r="171" spans="1:30" x14ac:dyDescent="0.25">
      <c r="A171" s="28"/>
      <c r="B171" s="28"/>
      <c r="C171" s="28"/>
      <c r="D171" s="29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1"/>
      <c r="AC171" s="32"/>
      <c r="AD171" s="32"/>
    </row>
    <row r="172" spans="1:30" x14ac:dyDescent="0.25">
      <c r="A172" s="28"/>
      <c r="B172" s="28"/>
      <c r="C172" s="28"/>
      <c r="D172" s="29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1"/>
      <c r="AC172" s="32"/>
      <c r="AD172" s="32"/>
    </row>
    <row r="173" spans="1:30" x14ac:dyDescent="0.25">
      <c r="A173" s="28"/>
      <c r="B173" s="28"/>
      <c r="C173" s="28"/>
      <c r="D173" s="29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1"/>
      <c r="AC173" s="32"/>
      <c r="AD173" s="32"/>
    </row>
    <row r="174" spans="1:30" x14ac:dyDescent="0.25">
      <c r="A174" s="28"/>
      <c r="B174" s="28"/>
      <c r="C174" s="28"/>
      <c r="D174" s="29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1"/>
      <c r="AC174" s="32"/>
      <c r="AD174" s="32"/>
    </row>
    <row r="175" spans="1:30" x14ac:dyDescent="0.25">
      <c r="A175" s="28"/>
      <c r="B175" s="28"/>
      <c r="C175" s="28"/>
      <c r="D175" s="29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1"/>
      <c r="AC175" s="32"/>
      <c r="AD175" s="32"/>
    </row>
    <row r="176" spans="1:30" x14ac:dyDescent="0.25">
      <c r="A176" s="28"/>
      <c r="B176" s="28"/>
      <c r="C176" s="28"/>
      <c r="D176" s="29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1"/>
      <c r="AC176" s="32"/>
      <c r="AD176" s="32"/>
    </row>
    <row r="177" spans="1:30" x14ac:dyDescent="0.25">
      <c r="A177" s="28"/>
      <c r="B177" s="28"/>
      <c r="C177" s="28"/>
      <c r="D177" s="29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1"/>
      <c r="AC177" s="32"/>
      <c r="AD177" s="32"/>
    </row>
    <row r="178" spans="1:30" x14ac:dyDescent="0.25">
      <c r="A178" s="28"/>
      <c r="B178" s="28"/>
      <c r="C178" s="28"/>
      <c r="D178" s="29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1"/>
      <c r="AC178" s="32"/>
      <c r="AD178" s="32"/>
    </row>
    <row r="179" spans="1:30" x14ac:dyDescent="0.25">
      <c r="A179" s="28"/>
      <c r="B179" s="28"/>
      <c r="C179" s="28"/>
      <c r="D179" s="29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1"/>
      <c r="AC179" s="32"/>
      <c r="AD179" s="32"/>
    </row>
    <row r="180" spans="1:30" x14ac:dyDescent="0.25">
      <c r="A180" s="28"/>
      <c r="B180" s="28"/>
      <c r="C180" s="28"/>
      <c r="D180" s="29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1"/>
      <c r="AC180" s="32"/>
      <c r="AD180" s="32"/>
    </row>
    <row r="181" spans="1:30" x14ac:dyDescent="0.25">
      <c r="A181" s="28"/>
      <c r="B181" s="28"/>
      <c r="C181" s="28"/>
      <c r="D181" s="29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1"/>
      <c r="AC181" s="32"/>
      <c r="AD181" s="32"/>
    </row>
    <row r="182" spans="1:30" x14ac:dyDescent="0.25">
      <c r="A182" s="28"/>
      <c r="B182" s="28"/>
      <c r="C182" s="28"/>
      <c r="D182" s="29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1"/>
      <c r="AC182" s="32"/>
      <c r="AD182" s="32"/>
    </row>
    <row r="183" spans="1:30" x14ac:dyDescent="0.25">
      <c r="A183" s="28"/>
      <c r="B183" s="28"/>
      <c r="C183" s="28"/>
      <c r="D183" s="29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1"/>
      <c r="AC183" s="32"/>
      <c r="AD183" s="32"/>
    </row>
    <row r="184" spans="1:30" x14ac:dyDescent="0.25">
      <c r="A184" s="28"/>
      <c r="B184" s="28"/>
      <c r="C184" s="28"/>
      <c r="D184" s="29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1"/>
      <c r="AC184" s="32"/>
      <c r="AD184" s="32"/>
    </row>
    <row r="185" spans="1:30" x14ac:dyDescent="0.25">
      <c r="A185" s="28"/>
      <c r="B185" s="28"/>
      <c r="C185" s="28"/>
      <c r="D185" s="29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1"/>
      <c r="AC185" s="32"/>
      <c r="AD185" s="32"/>
    </row>
    <row r="186" spans="1:30" x14ac:dyDescent="0.25">
      <c r="A186" s="28"/>
      <c r="B186" s="28"/>
      <c r="C186" s="28"/>
      <c r="D186" s="29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1"/>
      <c r="AC186" s="32"/>
      <c r="AD186" s="32"/>
    </row>
    <row r="187" spans="1:30" x14ac:dyDescent="0.25">
      <c r="A187" s="28"/>
      <c r="B187" s="28"/>
      <c r="C187" s="28"/>
      <c r="D187" s="29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1"/>
      <c r="AC187" s="32"/>
      <c r="AD187" s="32"/>
    </row>
    <row r="188" spans="1:30" x14ac:dyDescent="0.25">
      <c r="A188" s="28"/>
      <c r="B188" s="28"/>
      <c r="C188" s="28"/>
      <c r="D188" s="29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1"/>
      <c r="AC188" s="32"/>
      <c r="AD188" s="32"/>
    </row>
    <row r="189" spans="1:30" x14ac:dyDescent="0.25">
      <c r="A189" s="28"/>
      <c r="B189" s="28"/>
      <c r="C189" s="28"/>
      <c r="D189" s="29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1"/>
      <c r="AC189" s="32"/>
      <c r="AD189" s="32"/>
    </row>
    <row r="190" spans="1:30" x14ac:dyDescent="0.25">
      <c r="A190" s="28"/>
      <c r="B190" s="28"/>
      <c r="C190" s="28"/>
      <c r="D190" s="29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1"/>
      <c r="AC190" s="32"/>
      <c r="AD190" s="32"/>
    </row>
    <row r="191" spans="1:30" x14ac:dyDescent="0.25">
      <c r="A191" s="28"/>
      <c r="B191" s="28"/>
      <c r="C191" s="28"/>
      <c r="D191" s="29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1"/>
      <c r="AC191" s="32"/>
      <c r="AD191" s="32"/>
    </row>
    <row r="192" spans="1:30" x14ac:dyDescent="0.25">
      <c r="A192" s="28"/>
      <c r="B192" s="28"/>
      <c r="C192" s="28"/>
      <c r="D192" s="29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1"/>
      <c r="AC192" s="32"/>
      <c r="AD192" s="32"/>
    </row>
    <row r="193" spans="1:30" x14ac:dyDescent="0.25">
      <c r="A193" s="28"/>
      <c r="B193" s="28"/>
      <c r="C193" s="28"/>
      <c r="D193" s="29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1"/>
      <c r="AC193" s="32"/>
      <c r="AD193" s="32"/>
    </row>
    <row r="194" spans="1:30" x14ac:dyDescent="0.25">
      <c r="A194" s="28"/>
      <c r="B194" s="28"/>
      <c r="C194" s="28"/>
      <c r="D194" s="29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1"/>
      <c r="AC194" s="32"/>
      <c r="AD194" s="32"/>
    </row>
    <row r="195" spans="1:30" x14ac:dyDescent="0.25">
      <c r="A195" s="28"/>
      <c r="B195" s="28"/>
      <c r="C195" s="28"/>
      <c r="D195" s="29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1"/>
      <c r="AC195" s="32"/>
      <c r="AD195" s="32"/>
    </row>
    <row r="196" spans="1:30" x14ac:dyDescent="0.25">
      <c r="A196" s="28"/>
      <c r="B196" s="28"/>
      <c r="C196" s="28"/>
      <c r="D196" s="29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1"/>
      <c r="AC196" s="32"/>
      <c r="AD196" s="32"/>
    </row>
    <row r="197" spans="1:30" x14ac:dyDescent="0.25">
      <c r="A197" s="28"/>
      <c r="B197" s="28"/>
      <c r="C197" s="28"/>
      <c r="D197" s="29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1"/>
      <c r="AC197" s="32"/>
      <c r="AD197" s="32"/>
    </row>
    <row r="198" spans="1:30" x14ac:dyDescent="0.25">
      <c r="A198" s="28"/>
      <c r="B198" s="28"/>
      <c r="C198" s="28"/>
      <c r="D198" s="29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1"/>
      <c r="AC198" s="32"/>
      <c r="AD198" s="32"/>
    </row>
    <row r="199" spans="1:30" x14ac:dyDescent="0.25">
      <c r="A199" s="28"/>
      <c r="B199" s="28"/>
      <c r="C199" s="28"/>
      <c r="D199" s="29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1"/>
      <c r="AC199" s="32"/>
      <c r="AD199" s="32"/>
    </row>
    <row r="200" spans="1:30" x14ac:dyDescent="0.25">
      <c r="A200" s="28"/>
      <c r="B200" s="28"/>
      <c r="C200" s="28"/>
      <c r="D200" s="29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1"/>
      <c r="AC200" s="32"/>
      <c r="AD200" s="32"/>
    </row>
    <row r="201" spans="1:30" x14ac:dyDescent="0.25">
      <c r="A201" s="28"/>
      <c r="B201" s="28"/>
      <c r="C201" s="28"/>
      <c r="D201" s="29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1"/>
      <c r="AC201" s="32"/>
      <c r="AD201" s="32"/>
    </row>
    <row r="202" spans="1:30" x14ac:dyDescent="0.25">
      <c r="A202" s="28"/>
      <c r="B202" s="28"/>
      <c r="C202" s="28"/>
      <c r="D202" s="29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1"/>
      <c r="AC202" s="32"/>
      <c r="AD202" s="32"/>
    </row>
    <row r="203" spans="1:30" x14ac:dyDescent="0.25">
      <c r="A203" s="28"/>
      <c r="B203" s="28"/>
      <c r="C203" s="28"/>
      <c r="D203" s="29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1"/>
      <c r="AC203" s="32"/>
      <c r="AD203" s="32"/>
    </row>
    <row r="204" spans="1:30" x14ac:dyDescent="0.25">
      <c r="A204" s="28"/>
      <c r="B204" s="28"/>
      <c r="C204" s="28"/>
      <c r="D204" s="29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1"/>
      <c r="AC204" s="32"/>
      <c r="AD204" s="32"/>
    </row>
    <row r="205" spans="1:30" x14ac:dyDescent="0.25">
      <c r="A205" s="28"/>
      <c r="B205" s="28"/>
      <c r="C205" s="28"/>
      <c r="D205" s="29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1"/>
      <c r="AC205" s="32"/>
      <c r="AD205" s="32"/>
    </row>
    <row r="206" spans="1:30" x14ac:dyDescent="0.25">
      <c r="A206" s="28"/>
      <c r="B206" s="28"/>
      <c r="C206" s="28"/>
      <c r="D206" s="29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1"/>
      <c r="AC206" s="32"/>
      <c r="AD206" s="32"/>
    </row>
    <row r="207" spans="1:30" x14ac:dyDescent="0.25">
      <c r="A207" s="28"/>
      <c r="B207" s="28"/>
      <c r="C207" s="28"/>
      <c r="D207" s="29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1"/>
      <c r="AC207" s="32"/>
      <c r="AD207" s="32"/>
    </row>
    <row r="208" spans="1:30" x14ac:dyDescent="0.25">
      <c r="A208" s="28"/>
      <c r="B208" s="28"/>
      <c r="C208" s="28"/>
      <c r="D208" s="29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1"/>
      <c r="AC208" s="32"/>
      <c r="AD208" s="32"/>
    </row>
    <row r="209" spans="1:30" x14ac:dyDescent="0.25">
      <c r="A209" s="28"/>
      <c r="B209" s="28"/>
      <c r="C209" s="28"/>
      <c r="D209" s="29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1"/>
      <c r="AC209" s="32"/>
      <c r="AD209" s="32"/>
    </row>
    <row r="210" spans="1:30" x14ac:dyDescent="0.25">
      <c r="A210" s="28"/>
      <c r="B210" s="28"/>
      <c r="C210" s="28"/>
      <c r="D210" s="29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1"/>
      <c r="AC210" s="32"/>
      <c r="AD210" s="32"/>
    </row>
    <row r="211" spans="1:30" x14ac:dyDescent="0.25">
      <c r="A211" s="28"/>
      <c r="B211" s="28"/>
      <c r="C211" s="28"/>
      <c r="D211" s="29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1"/>
      <c r="AC211" s="32"/>
      <c r="AD211" s="32"/>
    </row>
    <row r="212" spans="1:30" x14ac:dyDescent="0.25">
      <c r="A212" s="28"/>
      <c r="B212" s="28"/>
      <c r="C212" s="28"/>
      <c r="D212" s="29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1"/>
      <c r="AC212" s="32"/>
      <c r="AD212" s="32"/>
    </row>
    <row r="213" spans="1:30" x14ac:dyDescent="0.25">
      <c r="A213" s="28"/>
      <c r="B213" s="28"/>
      <c r="C213" s="28"/>
      <c r="D213" s="29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1"/>
      <c r="AC213" s="32"/>
      <c r="AD213" s="32"/>
    </row>
    <row r="214" spans="1:30" x14ac:dyDescent="0.25">
      <c r="A214" s="28"/>
      <c r="B214" s="28"/>
      <c r="C214" s="28"/>
      <c r="D214" s="29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1"/>
      <c r="AC214" s="32"/>
      <c r="AD214" s="32"/>
    </row>
    <row r="215" spans="1:30" x14ac:dyDescent="0.25">
      <c r="A215" s="28"/>
      <c r="B215" s="28"/>
      <c r="C215" s="28"/>
      <c r="D215" s="29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1"/>
      <c r="AC215" s="32"/>
      <c r="AD215" s="32"/>
    </row>
    <row r="216" spans="1:30" x14ac:dyDescent="0.25">
      <c r="A216" s="28"/>
      <c r="B216" s="28"/>
      <c r="C216" s="28"/>
      <c r="D216" s="29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1"/>
      <c r="AC216" s="32"/>
      <c r="AD216" s="32"/>
    </row>
    <row r="217" spans="1:30" x14ac:dyDescent="0.25">
      <c r="A217" s="28"/>
      <c r="B217" s="28"/>
      <c r="C217" s="28"/>
      <c r="D217" s="29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1"/>
      <c r="AC217" s="32"/>
      <c r="AD217" s="32"/>
    </row>
    <row r="218" spans="1:30" x14ac:dyDescent="0.25">
      <c r="A218" s="28"/>
      <c r="B218" s="28"/>
      <c r="C218" s="28"/>
      <c r="D218" s="29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1"/>
      <c r="AC218" s="32"/>
      <c r="AD218" s="32"/>
    </row>
    <row r="219" spans="1:30" x14ac:dyDescent="0.25">
      <c r="A219" s="28"/>
      <c r="B219" s="28"/>
      <c r="C219" s="28"/>
      <c r="D219" s="29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1"/>
      <c r="AC219" s="32"/>
      <c r="AD219" s="32"/>
    </row>
    <row r="220" spans="1:30" x14ac:dyDescent="0.25">
      <c r="A220" s="28"/>
      <c r="B220" s="28"/>
      <c r="C220" s="28"/>
      <c r="D220" s="29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1"/>
      <c r="AC220" s="32"/>
      <c r="AD220" s="32"/>
    </row>
    <row r="221" spans="1:30" x14ac:dyDescent="0.25">
      <c r="A221" s="28"/>
      <c r="B221" s="28"/>
      <c r="C221" s="28"/>
      <c r="D221" s="29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1"/>
      <c r="AC221" s="32"/>
      <c r="AD221" s="32"/>
    </row>
    <row r="222" spans="1:30" x14ac:dyDescent="0.25">
      <c r="A222" s="28"/>
      <c r="B222" s="28"/>
      <c r="C222" s="28"/>
      <c r="D222" s="29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1"/>
      <c r="AC222" s="32"/>
      <c r="AD222" s="32"/>
    </row>
    <row r="223" spans="1:30" x14ac:dyDescent="0.25">
      <c r="A223" s="28"/>
      <c r="B223" s="28"/>
      <c r="C223" s="28"/>
      <c r="D223" s="29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1"/>
      <c r="AC223" s="32"/>
      <c r="AD223" s="32"/>
    </row>
    <row r="224" spans="1:30" x14ac:dyDescent="0.25">
      <c r="A224" s="28"/>
      <c r="B224" s="28"/>
      <c r="C224" s="28"/>
      <c r="D224" s="29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3"/>
      <c r="AC224" s="32"/>
      <c r="AD224" s="32"/>
    </row>
    <row r="225" spans="1:30" x14ac:dyDescent="0.25">
      <c r="A225" s="28"/>
      <c r="B225" s="28"/>
      <c r="C225" s="28"/>
      <c r="D225" s="29"/>
      <c r="E225" s="30"/>
      <c r="F225" s="30"/>
      <c r="G225" s="30"/>
      <c r="H225" s="30"/>
      <c r="I225" s="30"/>
      <c r="J225" s="30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33"/>
      <c r="AC225" s="32"/>
      <c r="AD225" s="32"/>
    </row>
    <row r="226" spans="1:30" x14ac:dyDescent="0.25">
      <c r="A226" s="28"/>
      <c r="B226" s="28"/>
      <c r="C226" s="28"/>
      <c r="D226" s="29"/>
      <c r="E226" s="30"/>
      <c r="F226" s="30"/>
      <c r="G226" s="30"/>
      <c r="H226" s="30"/>
      <c r="I226" s="30"/>
      <c r="J226" s="30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33"/>
      <c r="AC226" s="32"/>
      <c r="AD226" s="32"/>
    </row>
    <row r="227" spans="1:30" x14ac:dyDescent="0.25">
      <c r="A227" s="28"/>
      <c r="B227" s="28"/>
      <c r="C227" s="28"/>
      <c r="D227" s="29"/>
      <c r="E227" s="30"/>
      <c r="F227" s="30"/>
      <c r="G227" s="30"/>
      <c r="H227" s="30"/>
      <c r="I227" s="30"/>
      <c r="J227" s="30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33"/>
      <c r="AC227" s="32"/>
      <c r="AD227" s="32"/>
    </row>
    <row r="228" spans="1:30" x14ac:dyDescent="0.25">
      <c r="A228" s="28"/>
      <c r="B228" s="28"/>
      <c r="C228" s="28"/>
      <c r="D228" s="29"/>
      <c r="E228" s="30"/>
      <c r="F228" s="30"/>
      <c r="G228" s="30"/>
      <c r="H228" s="30"/>
      <c r="I228" s="30"/>
      <c r="J228" s="30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33"/>
      <c r="AC228" s="32"/>
      <c r="AD228" s="32"/>
    </row>
    <row r="229" spans="1:30" x14ac:dyDescent="0.25">
      <c r="A229" s="28"/>
      <c r="B229" s="28"/>
      <c r="C229" s="28"/>
      <c r="D229" s="29"/>
      <c r="E229" s="30"/>
      <c r="F229" s="30"/>
      <c r="G229" s="30"/>
      <c r="H229" s="30"/>
      <c r="I229" s="30"/>
      <c r="J229" s="30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33"/>
      <c r="AC229" s="32"/>
      <c r="AD229" s="32"/>
    </row>
    <row r="230" spans="1:30" x14ac:dyDescent="0.25">
      <c r="A230" s="28"/>
      <c r="B230" s="28"/>
      <c r="C230" s="28"/>
      <c r="D230" s="29"/>
      <c r="E230" s="30"/>
      <c r="F230" s="30"/>
      <c r="G230" s="30"/>
      <c r="H230" s="30"/>
      <c r="I230" s="30"/>
      <c r="J230" s="30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33"/>
      <c r="AC230" s="32"/>
      <c r="AD230" s="32"/>
    </row>
    <row r="231" spans="1:30" x14ac:dyDescent="0.25">
      <c r="A231" s="28"/>
      <c r="B231" s="28"/>
      <c r="C231" s="28"/>
      <c r="D231" s="29"/>
      <c r="E231" s="30"/>
      <c r="F231" s="30"/>
      <c r="G231" s="30"/>
      <c r="H231" s="30"/>
      <c r="I231" s="30"/>
      <c r="J231" s="30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33"/>
      <c r="AC231" s="32"/>
      <c r="AD231" s="32"/>
    </row>
    <row r="232" spans="1:30" x14ac:dyDescent="0.25">
      <c r="A232" s="28"/>
      <c r="B232" s="28"/>
      <c r="C232" s="28"/>
      <c r="D232" s="29"/>
      <c r="E232" s="30"/>
      <c r="F232" s="30"/>
      <c r="G232" s="30"/>
      <c r="H232" s="30"/>
      <c r="I232" s="30"/>
      <c r="J232" s="30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33"/>
      <c r="AC232" s="32"/>
      <c r="AD232" s="32"/>
    </row>
    <row r="233" spans="1:30" x14ac:dyDescent="0.25">
      <c r="A233" s="28"/>
      <c r="B233" s="28"/>
      <c r="C233" s="28"/>
      <c r="D233" s="29"/>
      <c r="E233" s="30"/>
      <c r="F233" s="30"/>
      <c r="G233" s="30"/>
      <c r="H233" s="30"/>
      <c r="I233" s="30"/>
      <c r="J233" s="30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33"/>
      <c r="AC233" s="32"/>
      <c r="AD233" s="32"/>
    </row>
    <row r="234" spans="1:30" x14ac:dyDescent="0.25">
      <c r="A234" s="28"/>
      <c r="B234" s="28"/>
      <c r="C234" s="28"/>
      <c r="D234" s="29"/>
      <c r="E234" s="30"/>
      <c r="F234" s="30"/>
      <c r="G234" s="30"/>
      <c r="H234" s="30"/>
      <c r="I234" s="30"/>
      <c r="J234" s="30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33"/>
      <c r="AC234" s="32"/>
      <c r="AD234" s="32"/>
    </row>
    <row r="235" spans="1:30" x14ac:dyDescent="0.25">
      <c r="A235" s="28"/>
      <c r="B235" s="28"/>
      <c r="C235" s="28"/>
      <c r="D235" s="29"/>
      <c r="E235" s="30"/>
      <c r="F235" s="30"/>
      <c r="G235" s="30"/>
      <c r="H235" s="30"/>
      <c r="I235" s="30"/>
      <c r="J235" s="30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33"/>
      <c r="AC235" s="32"/>
      <c r="AD235" s="32"/>
    </row>
    <row r="236" spans="1:30" x14ac:dyDescent="0.25">
      <c r="A236" s="28"/>
      <c r="B236" s="28"/>
      <c r="C236" s="28"/>
      <c r="D236" s="29"/>
      <c r="E236" s="30"/>
      <c r="F236" s="30"/>
      <c r="G236" s="30"/>
      <c r="H236" s="30"/>
      <c r="I236" s="30"/>
      <c r="J236" s="30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33"/>
      <c r="AC236" s="32"/>
      <c r="AD236" s="32"/>
    </row>
    <row r="237" spans="1:30" x14ac:dyDescent="0.25">
      <c r="A237" s="28"/>
      <c r="B237" s="28"/>
      <c r="C237" s="28"/>
      <c r="D237" s="29"/>
      <c r="E237" s="30"/>
      <c r="F237" s="30"/>
      <c r="G237" s="30"/>
      <c r="H237" s="30"/>
      <c r="I237" s="30"/>
      <c r="J237" s="30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33"/>
      <c r="AC237" s="32"/>
      <c r="AD237" s="32"/>
    </row>
    <row r="238" spans="1:30" x14ac:dyDescent="0.25">
      <c r="A238" s="28"/>
      <c r="B238" s="28"/>
      <c r="C238" s="28"/>
      <c r="D238" s="29"/>
      <c r="E238" s="30"/>
      <c r="F238" s="30"/>
      <c r="G238" s="30"/>
      <c r="H238" s="30"/>
      <c r="I238" s="30"/>
      <c r="J238" s="30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33"/>
      <c r="AC238" s="32"/>
      <c r="AD238" s="32"/>
    </row>
    <row r="239" spans="1:30" x14ac:dyDescent="0.25">
      <c r="A239" s="28"/>
      <c r="B239" s="28"/>
      <c r="C239" s="28"/>
      <c r="D239" s="29"/>
      <c r="E239" s="30"/>
      <c r="F239" s="30"/>
      <c r="G239" s="30"/>
      <c r="H239" s="30"/>
      <c r="I239" s="30"/>
      <c r="J239" s="30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33"/>
      <c r="AC239" s="32"/>
      <c r="AD239" s="32"/>
    </row>
    <row r="240" spans="1:30" x14ac:dyDescent="0.25">
      <c r="A240" s="28"/>
      <c r="B240" s="28"/>
      <c r="C240" s="28"/>
      <c r="D240" s="29"/>
      <c r="E240" s="30"/>
      <c r="F240" s="30"/>
      <c r="G240" s="30"/>
      <c r="H240" s="30"/>
      <c r="I240" s="30"/>
      <c r="J240" s="30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33"/>
      <c r="AC240" s="32"/>
      <c r="AD240" s="32"/>
    </row>
    <row r="241" spans="1:30" x14ac:dyDescent="0.25">
      <c r="A241" s="28"/>
      <c r="B241" s="28"/>
      <c r="C241" s="28"/>
      <c r="D241" s="29"/>
      <c r="E241" s="30"/>
      <c r="F241" s="30"/>
      <c r="G241" s="30"/>
      <c r="H241" s="30"/>
      <c r="I241" s="30"/>
      <c r="J241" s="30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33"/>
      <c r="AC241" s="32"/>
      <c r="AD241" s="32"/>
    </row>
    <row r="242" spans="1:30" x14ac:dyDescent="0.25">
      <c r="A242" s="28"/>
      <c r="B242" s="28"/>
      <c r="C242" s="28"/>
      <c r="D242" s="29"/>
      <c r="E242" s="30"/>
      <c r="F242" s="30"/>
      <c r="G242" s="30"/>
      <c r="H242" s="30"/>
      <c r="I242" s="30"/>
      <c r="J242" s="30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33"/>
      <c r="AC242" s="32"/>
      <c r="AD242" s="32"/>
    </row>
    <row r="243" spans="1:30" x14ac:dyDescent="0.25">
      <c r="A243" s="28"/>
      <c r="B243" s="28"/>
      <c r="C243" s="28"/>
      <c r="D243" s="29"/>
      <c r="E243" s="30"/>
      <c r="F243" s="30"/>
      <c r="G243" s="30"/>
      <c r="H243" s="30"/>
      <c r="I243" s="30"/>
      <c r="J243" s="30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33"/>
      <c r="AC243" s="32"/>
      <c r="AD243" s="32"/>
    </row>
    <row r="244" spans="1:30" x14ac:dyDescent="0.25">
      <c r="A244" s="28"/>
      <c r="B244" s="28"/>
      <c r="C244" s="28"/>
      <c r="D244" s="29"/>
      <c r="E244" s="30"/>
      <c r="F244" s="30"/>
      <c r="G244" s="30"/>
      <c r="H244" s="30"/>
      <c r="I244" s="30"/>
      <c r="J244" s="30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33"/>
      <c r="AC244" s="32"/>
      <c r="AD244" s="32"/>
    </row>
    <row r="245" spans="1:30" x14ac:dyDescent="0.25">
      <c r="A245" s="28"/>
      <c r="B245" s="28"/>
      <c r="C245" s="28"/>
      <c r="D245" s="29"/>
      <c r="E245" s="30"/>
      <c r="F245" s="30"/>
      <c r="G245" s="30"/>
      <c r="H245" s="30"/>
      <c r="I245" s="30"/>
      <c r="J245" s="30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33"/>
      <c r="AC245" s="32"/>
      <c r="AD245" s="32"/>
    </row>
    <row r="246" spans="1:30" x14ac:dyDescent="0.25">
      <c r="A246" s="28"/>
      <c r="B246" s="28"/>
      <c r="C246" s="28"/>
      <c r="D246" s="29"/>
      <c r="E246" s="30"/>
      <c r="F246" s="30"/>
      <c r="G246" s="30"/>
      <c r="H246" s="30"/>
      <c r="I246" s="30"/>
      <c r="J246" s="30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33"/>
      <c r="AC246" s="32"/>
      <c r="AD246" s="32"/>
    </row>
    <row r="247" spans="1:30" x14ac:dyDescent="0.25">
      <c r="A247" s="28"/>
      <c r="B247" s="28"/>
      <c r="C247" s="28"/>
      <c r="D247" s="29"/>
      <c r="E247" s="30"/>
      <c r="F247" s="30"/>
      <c r="G247" s="30"/>
      <c r="H247" s="30"/>
      <c r="I247" s="30"/>
      <c r="J247" s="30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33"/>
      <c r="AC247" s="32"/>
      <c r="AD247" s="32"/>
    </row>
    <row r="248" spans="1:30" x14ac:dyDescent="0.25">
      <c r="A248" s="28"/>
      <c r="B248" s="28"/>
      <c r="C248" s="28"/>
      <c r="D248" s="29"/>
      <c r="E248" s="30"/>
      <c r="F248" s="30"/>
      <c r="G248" s="30"/>
      <c r="H248" s="30"/>
      <c r="I248" s="30"/>
      <c r="J248" s="30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33"/>
      <c r="AC248" s="32"/>
      <c r="AD248" s="32"/>
    </row>
    <row r="249" spans="1:30" x14ac:dyDescent="0.25">
      <c r="A249" s="28"/>
      <c r="B249" s="28"/>
      <c r="C249" s="28"/>
      <c r="D249" s="29"/>
      <c r="E249" s="30"/>
      <c r="F249" s="30"/>
      <c r="G249" s="30"/>
      <c r="H249" s="30"/>
      <c r="I249" s="30"/>
      <c r="J249" s="30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33"/>
      <c r="AC249" s="32"/>
      <c r="AD249" s="32"/>
    </row>
    <row r="250" spans="1:30" x14ac:dyDescent="0.25">
      <c r="A250" s="28"/>
      <c r="B250" s="28"/>
      <c r="C250" s="28"/>
      <c r="D250" s="29"/>
      <c r="E250" s="30"/>
      <c r="F250" s="30"/>
      <c r="G250" s="30"/>
      <c r="H250" s="30"/>
      <c r="I250" s="30"/>
      <c r="J250" s="30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33"/>
      <c r="AC250" s="32"/>
      <c r="AD250" s="32"/>
    </row>
    <row r="251" spans="1:30" x14ac:dyDescent="0.25">
      <c r="A251" s="28"/>
      <c r="B251" s="28"/>
      <c r="C251" s="28"/>
      <c r="D251" s="29"/>
      <c r="E251" s="30"/>
      <c r="F251" s="30"/>
      <c r="G251" s="30"/>
      <c r="H251" s="30"/>
      <c r="I251" s="30"/>
      <c r="J251" s="30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33"/>
      <c r="AC251" s="32"/>
      <c r="AD251" s="32"/>
    </row>
    <row r="252" spans="1:30" x14ac:dyDescent="0.25">
      <c r="A252" s="28"/>
      <c r="B252" s="28"/>
      <c r="C252" s="28"/>
      <c r="D252" s="29"/>
      <c r="E252" s="30"/>
      <c r="F252" s="30"/>
      <c r="G252" s="30"/>
      <c r="H252" s="30"/>
      <c r="I252" s="30"/>
      <c r="J252" s="30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33"/>
      <c r="AC252" s="32"/>
      <c r="AD252" s="32"/>
    </row>
    <row r="253" spans="1:30" x14ac:dyDescent="0.25">
      <c r="A253" s="28"/>
      <c r="B253" s="28"/>
      <c r="C253" s="28"/>
      <c r="D253" s="29"/>
      <c r="E253" s="30"/>
      <c r="F253" s="30"/>
      <c r="G253" s="30"/>
      <c r="H253" s="30"/>
      <c r="I253" s="30"/>
      <c r="J253" s="30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33"/>
      <c r="AC253" s="32"/>
      <c r="AD253" s="32"/>
    </row>
    <row r="254" spans="1:30" x14ac:dyDescent="0.25">
      <c r="A254" s="28"/>
      <c r="B254" s="28"/>
      <c r="C254" s="28"/>
      <c r="D254" s="29"/>
      <c r="E254" s="30"/>
      <c r="F254" s="30"/>
      <c r="G254" s="30"/>
      <c r="H254" s="30"/>
      <c r="I254" s="30"/>
      <c r="J254" s="30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33"/>
      <c r="AC254" s="32"/>
      <c r="AD254" s="32"/>
    </row>
    <row r="255" spans="1:30" x14ac:dyDescent="0.25">
      <c r="A255" s="28"/>
      <c r="B255" s="28"/>
      <c r="C255" s="28"/>
      <c r="D255" s="29"/>
      <c r="E255" s="30"/>
      <c r="F255" s="30"/>
      <c r="G255" s="30"/>
      <c r="H255" s="30"/>
      <c r="I255" s="30"/>
      <c r="J255" s="30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33"/>
      <c r="AC255" s="32"/>
      <c r="AD255" s="32"/>
    </row>
    <row r="256" spans="1:30" x14ac:dyDescent="0.25">
      <c r="A256" s="28"/>
      <c r="B256" s="28"/>
      <c r="C256" s="28"/>
      <c r="D256" s="29"/>
      <c r="E256" s="30"/>
      <c r="F256" s="30"/>
      <c r="G256" s="30"/>
      <c r="H256" s="30"/>
      <c r="I256" s="30"/>
      <c r="J256" s="30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33"/>
      <c r="AC256" s="32"/>
      <c r="AD256" s="32"/>
    </row>
    <row r="257" spans="1:30" x14ac:dyDescent="0.25">
      <c r="A257" s="28"/>
      <c r="B257" s="28"/>
      <c r="C257" s="28"/>
      <c r="D257" s="29"/>
      <c r="E257" s="30"/>
      <c r="F257" s="30"/>
      <c r="G257" s="30"/>
      <c r="H257" s="30"/>
      <c r="I257" s="30"/>
      <c r="J257" s="30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33"/>
      <c r="AC257" s="32"/>
      <c r="AD257" s="32"/>
    </row>
    <row r="258" spans="1:30" x14ac:dyDescent="0.25">
      <c r="A258" s="28"/>
      <c r="B258" s="28"/>
      <c r="C258" s="28"/>
      <c r="D258" s="29"/>
      <c r="E258" s="30"/>
      <c r="F258" s="30"/>
      <c r="G258" s="30"/>
      <c r="H258" s="30"/>
      <c r="I258" s="30"/>
      <c r="J258" s="30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33"/>
      <c r="AC258" s="32"/>
      <c r="AD258" s="32"/>
    </row>
    <row r="259" spans="1:30" x14ac:dyDescent="0.25">
      <c r="A259" s="28"/>
      <c r="B259" s="28"/>
      <c r="C259" s="28"/>
      <c r="D259" s="29"/>
      <c r="E259" s="30"/>
      <c r="F259" s="30"/>
      <c r="G259" s="30"/>
      <c r="H259" s="30"/>
      <c r="I259" s="30"/>
      <c r="J259" s="30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33"/>
      <c r="AC259" s="32"/>
      <c r="AD259" s="32"/>
    </row>
    <row r="260" spans="1:30" x14ac:dyDescent="0.25">
      <c r="A260" s="28"/>
      <c r="B260" s="28"/>
      <c r="C260" s="28"/>
      <c r="D260" s="29"/>
      <c r="E260" s="30"/>
      <c r="F260" s="30"/>
      <c r="G260" s="30"/>
      <c r="H260" s="30"/>
      <c r="I260" s="30"/>
      <c r="J260" s="30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33"/>
      <c r="AC260" s="32"/>
      <c r="AD260" s="32"/>
    </row>
    <row r="261" spans="1:30" x14ac:dyDescent="0.25">
      <c r="A261" s="28"/>
      <c r="B261" s="28"/>
      <c r="C261" s="28"/>
      <c r="D261" s="29"/>
      <c r="E261" s="30"/>
      <c r="F261" s="30"/>
      <c r="G261" s="30"/>
      <c r="H261" s="30"/>
      <c r="I261" s="30"/>
      <c r="J261" s="30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33"/>
      <c r="AC261" s="32"/>
      <c r="AD261" s="32"/>
    </row>
    <row r="262" spans="1:30" x14ac:dyDescent="0.25">
      <c r="A262" s="28"/>
      <c r="B262" s="28"/>
      <c r="C262" s="28"/>
      <c r="D262" s="29"/>
      <c r="E262" s="30"/>
      <c r="F262" s="30"/>
      <c r="G262" s="30"/>
      <c r="H262" s="30"/>
      <c r="I262" s="30"/>
      <c r="J262" s="30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33"/>
      <c r="AC262" s="32"/>
      <c r="AD262" s="32"/>
    </row>
    <row r="263" spans="1:30" x14ac:dyDescent="0.25">
      <c r="A263" s="28"/>
      <c r="B263" s="28"/>
      <c r="C263" s="28"/>
      <c r="D263" s="29"/>
      <c r="E263" s="30"/>
      <c r="F263" s="30"/>
      <c r="G263" s="30"/>
      <c r="H263" s="30"/>
      <c r="I263" s="30"/>
      <c r="J263" s="30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33"/>
      <c r="AC263" s="32"/>
      <c r="AD263" s="32"/>
    </row>
    <row r="264" spans="1:30" x14ac:dyDescent="0.25">
      <c r="A264" s="28"/>
      <c r="B264" s="28"/>
      <c r="C264" s="28"/>
      <c r="D264" s="29"/>
      <c r="E264" s="30"/>
      <c r="F264" s="30"/>
      <c r="G264" s="30"/>
      <c r="H264" s="30"/>
      <c r="I264" s="30"/>
      <c r="J264" s="30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33"/>
      <c r="AC264" s="32"/>
      <c r="AD264" s="32"/>
    </row>
    <row r="265" spans="1:30" x14ac:dyDescent="0.25">
      <c r="A265" s="28"/>
      <c r="B265" s="28"/>
      <c r="C265" s="28"/>
      <c r="D265" s="29"/>
      <c r="E265" s="30"/>
      <c r="F265" s="30"/>
      <c r="G265" s="30"/>
      <c r="H265" s="30"/>
      <c r="I265" s="30"/>
      <c r="J265" s="30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34"/>
      <c r="AC265" s="32"/>
      <c r="AD265" s="32"/>
    </row>
    <row r="266" spans="1:30" x14ac:dyDescent="0.25">
      <c r="AB266" s="34"/>
      <c r="AC266" s="32"/>
      <c r="AD266" s="32"/>
    </row>
    <row r="267" spans="1:30" x14ac:dyDescent="0.25">
      <c r="AB267" s="34"/>
      <c r="AC267" s="32"/>
      <c r="AD267" s="32"/>
    </row>
    <row r="268" spans="1:30" x14ac:dyDescent="0.25">
      <c r="AB268" s="34"/>
      <c r="AC268" s="32"/>
      <c r="AD268" s="32"/>
    </row>
    <row r="269" spans="1:30" x14ac:dyDescent="0.25">
      <c r="AB269" s="34"/>
      <c r="AC269" s="32"/>
      <c r="AD269" s="32"/>
    </row>
    <row r="270" spans="1:30" x14ac:dyDescent="0.25">
      <c r="AB270" s="34"/>
      <c r="AC270" s="32"/>
      <c r="AD270" s="32"/>
    </row>
    <row r="271" spans="1:30" x14ac:dyDescent="0.25">
      <c r="AB271" s="34"/>
      <c r="AC271" s="32"/>
      <c r="AD271" s="32"/>
    </row>
    <row r="272" spans="1:30" x14ac:dyDescent="0.25">
      <c r="AB272" s="34"/>
      <c r="AC272" s="32"/>
      <c r="AD272" s="32"/>
    </row>
    <row r="273" spans="28:30" x14ac:dyDescent="0.25">
      <c r="AB273" s="34"/>
      <c r="AC273" s="32"/>
      <c r="AD273" s="32"/>
    </row>
    <row r="274" spans="28:30" x14ac:dyDescent="0.25">
      <c r="AB274" s="34"/>
      <c r="AC274" s="32"/>
      <c r="AD274" s="32"/>
    </row>
    <row r="275" spans="28:30" x14ac:dyDescent="0.25">
      <c r="AB275" s="34"/>
      <c r="AC275" s="32"/>
      <c r="AD275" s="32"/>
    </row>
    <row r="276" spans="28:30" x14ac:dyDescent="0.25">
      <c r="AB276" s="34"/>
      <c r="AC276" s="32"/>
      <c r="AD276" s="32"/>
    </row>
    <row r="277" spans="28:30" x14ac:dyDescent="0.25">
      <c r="AB277" s="34"/>
      <c r="AC277" s="32"/>
      <c r="AD277" s="32"/>
    </row>
    <row r="278" spans="28:30" x14ac:dyDescent="0.25">
      <c r="AB278" s="34"/>
      <c r="AC278" s="32"/>
      <c r="AD278" s="32"/>
    </row>
    <row r="279" spans="28:30" x14ac:dyDescent="0.25">
      <c r="AB279" s="34"/>
      <c r="AC279" s="32"/>
      <c r="AD279" s="32"/>
    </row>
    <row r="280" spans="28:30" x14ac:dyDescent="0.25">
      <c r="AB280" s="34"/>
      <c r="AC280" s="32"/>
      <c r="AD280" s="32"/>
    </row>
    <row r="281" spans="28:30" x14ac:dyDescent="0.25">
      <c r="AB281" s="34"/>
      <c r="AC281" s="32"/>
      <c r="AD281" s="32"/>
    </row>
    <row r="282" spans="28:30" x14ac:dyDescent="0.25">
      <c r="AB282" s="34"/>
      <c r="AC282" s="32"/>
      <c r="AD282" s="32"/>
    </row>
    <row r="283" spans="28:30" x14ac:dyDescent="0.25">
      <c r="AB283" s="34"/>
      <c r="AC283" s="32"/>
      <c r="AD283" s="32"/>
    </row>
    <row r="284" spans="28:30" x14ac:dyDescent="0.25">
      <c r="AB284" s="34"/>
      <c r="AC284" s="32"/>
      <c r="AD284" s="32"/>
    </row>
    <row r="285" spans="28:30" x14ac:dyDescent="0.25">
      <c r="AB285" s="34"/>
      <c r="AC285" s="32"/>
      <c r="AD285" s="32"/>
    </row>
    <row r="286" spans="28:30" x14ac:dyDescent="0.25">
      <c r="AB286" s="34"/>
      <c r="AC286" s="32"/>
      <c r="AD286" s="32"/>
    </row>
    <row r="287" spans="28:30" x14ac:dyDescent="0.25">
      <c r="AB287" s="34"/>
      <c r="AC287" s="32"/>
      <c r="AD287" s="32"/>
    </row>
    <row r="288" spans="28:30" x14ac:dyDescent="0.25">
      <c r="AB288" s="34"/>
      <c r="AC288" s="32"/>
      <c r="AD288" s="32"/>
    </row>
    <row r="289" spans="28:30" x14ac:dyDescent="0.25">
      <c r="AB289" s="34"/>
      <c r="AC289" s="32"/>
      <c r="AD289" s="32"/>
    </row>
    <row r="290" spans="28:30" x14ac:dyDescent="0.25">
      <c r="AB290" s="34"/>
      <c r="AC290" s="32"/>
      <c r="AD290" s="32"/>
    </row>
    <row r="291" spans="28:30" x14ac:dyDescent="0.25">
      <c r="AB291" s="34"/>
      <c r="AC291" s="32"/>
      <c r="AD291" s="32"/>
    </row>
    <row r="292" spans="28:30" x14ac:dyDescent="0.25">
      <c r="AB292" s="34"/>
      <c r="AC292" s="32"/>
      <c r="AD292" s="32"/>
    </row>
    <row r="293" spans="28:30" x14ac:dyDescent="0.25">
      <c r="AB293" s="34"/>
      <c r="AC293" s="32"/>
      <c r="AD293" s="32"/>
    </row>
    <row r="294" spans="28:30" x14ac:dyDescent="0.25">
      <c r="AB294" s="34"/>
      <c r="AC294" s="32"/>
      <c r="AD294" s="32"/>
    </row>
    <row r="295" spans="28:30" x14ac:dyDescent="0.25">
      <c r="AB295" s="34"/>
      <c r="AC295" s="32"/>
      <c r="AD295" s="32"/>
    </row>
    <row r="296" spans="28:30" x14ac:dyDescent="0.25">
      <c r="AB296" s="34"/>
      <c r="AC296" s="32"/>
      <c r="AD296" s="32"/>
    </row>
    <row r="297" spans="28:30" x14ac:dyDescent="0.25">
      <c r="AB297" s="34"/>
      <c r="AC297" s="32"/>
      <c r="AD297" s="32"/>
    </row>
    <row r="298" spans="28:30" x14ac:dyDescent="0.25">
      <c r="AB298" s="34"/>
      <c r="AC298" s="32"/>
      <c r="AD298" s="32"/>
    </row>
    <row r="299" spans="28:30" x14ac:dyDescent="0.25">
      <c r="AB299" s="34"/>
      <c r="AC299" s="32"/>
      <c r="AD299" s="32"/>
    </row>
    <row r="300" spans="28:30" x14ac:dyDescent="0.25">
      <c r="AB300" s="34"/>
      <c r="AC300" s="32"/>
      <c r="AD300" s="32"/>
    </row>
    <row r="301" spans="28:30" x14ac:dyDescent="0.25">
      <c r="AB301" s="34"/>
      <c r="AC301" s="32"/>
      <c r="AD301" s="32"/>
    </row>
    <row r="302" spans="28:30" x14ac:dyDescent="0.25">
      <c r="AB302" s="34"/>
      <c r="AC302" s="32"/>
      <c r="AD302" s="32"/>
    </row>
    <row r="303" spans="28:30" x14ac:dyDescent="0.25">
      <c r="AB303" s="34"/>
      <c r="AC303" s="32"/>
      <c r="AD303" s="32"/>
    </row>
    <row r="304" spans="28:30" x14ac:dyDescent="0.25">
      <c r="AB304" s="34"/>
      <c r="AC304" s="32"/>
      <c r="AD304" s="32"/>
    </row>
    <row r="305" spans="28:30" x14ac:dyDescent="0.25">
      <c r="AB305" s="34"/>
      <c r="AC305" s="32"/>
      <c r="AD305" s="32"/>
    </row>
    <row r="306" spans="28:30" x14ac:dyDescent="0.25">
      <c r="AB306" s="34"/>
      <c r="AC306" s="32"/>
      <c r="AD306" s="32"/>
    </row>
    <row r="307" spans="28:30" x14ac:dyDescent="0.25">
      <c r="AB307" s="34"/>
      <c r="AC307" s="32"/>
      <c r="AD307" s="32"/>
    </row>
    <row r="308" spans="28:30" x14ac:dyDescent="0.25">
      <c r="AB308" s="34"/>
      <c r="AC308" s="32"/>
      <c r="AD308" s="32"/>
    </row>
    <row r="309" spans="28:30" x14ac:dyDescent="0.25">
      <c r="AB309" s="34"/>
      <c r="AC309" s="32"/>
      <c r="AD309" s="32"/>
    </row>
    <row r="310" spans="28:30" x14ac:dyDescent="0.25">
      <c r="AB310" s="34"/>
      <c r="AC310" s="32"/>
      <c r="AD310" s="32"/>
    </row>
    <row r="311" spans="28:30" x14ac:dyDescent="0.25">
      <c r="AB311" s="34"/>
      <c r="AC311" s="32"/>
      <c r="AD311" s="32"/>
    </row>
    <row r="312" spans="28:30" x14ac:dyDescent="0.25">
      <c r="AB312" s="34"/>
      <c r="AC312" s="32"/>
      <c r="AD312" s="32"/>
    </row>
    <row r="313" spans="28:30" x14ac:dyDescent="0.25">
      <c r="AB313" s="34"/>
      <c r="AC313" s="32"/>
      <c r="AD313" s="32"/>
    </row>
    <row r="314" spans="28:30" x14ac:dyDescent="0.25">
      <c r="AB314" s="34"/>
      <c r="AC314" s="32"/>
      <c r="AD314" s="32"/>
    </row>
    <row r="315" spans="28:30" x14ac:dyDescent="0.25">
      <c r="AB315" s="34"/>
      <c r="AC315" s="32"/>
      <c r="AD315" s="32"/>
    </row>
    <row r="316" spans="28:30" x14ac:dyDescent="0.25">
      <c r="AB316" s="34"/>
      <c r="AC316" s="32"/>
      <c r="AD316" s="32"/>
    </row>
    <row r="317" spans="28:30" x14ac:dyDescent="0.25">
      <c r="AB317" s="34"/>
      <c r="AC317" s="32"/>
      <c r="AD317" s="32"/>
    </row>
    <row r="318" spans="28:30" x14ac:dyDescent="0.25">
      <c r="AB318" s="34"/>
      <c r="AC318" s="32"/>
      <c r="AD318" s="32"/>
    </row>
    <row r="319" spans="28:30" x14ac:dyDescent="0.25">
      <c r="AB319" s="34"/>
      <c r="AC319" s="32"/>
      <c r="AD319" s="32"/>
    </row>
    <row r="320" spans="28:30" x14ac:dyDescent="0.25">
      <c r="AB320" s="34"/>
      <c r="AC320" s="32"/>
      <c r="AD320" s="32"/>
    </row>
    <row r="321" spans="28:30" x14ac:dyDescent="0.25">
      <c r="AB321" s="34"/>
      <c r="AC321" s="32"/>
      <c r="AD321" s="32"/>
    </row>
    <row r="322" spans="28:30" x14ac:dyDescent="0.25">
      <c r="AB322" s="34"/>
      <c r="AC322" s="32"/>
      <c r="AD322" s="32"/>
    </row>
    <row r="323" spans="28:30" x14ac:dyDescent="0.25">
      <c r="AB323" s="34"/>
      <c r="AC323" s="32"/>
      <c r="AD323" s="32"/>
    </row>
    <row r="324" spans="28:30" x14ac:dyDescent="0.25">
      <c r="AB324" s="34"/>
      <c r="AC324" s="32"/>
      <c r="AD324" s="32"/>
    </row>
    <row r="325" spans="28:30" x14ac:dyDescent="0.25">
      <c r="AB325" s="34"/>
      <c r="AC325" s="32"/>
      <c r="AD325" s="32"/>
    </row>
    <row r="326" spans="28:30" x14ac:dyDescent="0.25">
      <c r="AB326" s="34"/>
      <c r="AC326" s="32"/>
      <c r="AD326" s="32"/>
    </row>
    <row r="327" spans="28:30" x14ac:dyDescent="0.25">
      <c r="AB327" s="34"/>
      <c r="AC327" s="32"/>
      <c r="AD327" s="32"/>
    </row>
    <row r="328" spans="28:30" x14ac:dyDescent="0.25">
      <c r="AB328" s="34"/>
      <c r="AC328" s="32"/>
      <c r="AD328" s="32"/>
    </row>
    <row r="329" spans="28:30" x14ac:dyDescent="0.25">
      <c r="AB329" s="34"/>
      <c r="AC329" s="32"/>
      <c r="AD329" s="32"/>
    </row>
    <row r="330" spans="28:30" x14ac:dyDescent="0.25">
      <c r="AB330" s="34"/>
      <c r="AC330" s="32"/>
      <c r="AD330" s="32"/>
    </row>
    <row r="331" spans="28:30" x14ac:dyDescent="0.25">
      <c r="AB331" s="34"/>
      <c r="AC331" s="32"/>
      <c r="AD331" s="32"/>
    </row>
    <row r="332" spans="28:30" x14ac:dyDescent="0.25">
      <c r="AB332" s="34"/>
      <c r="AC332" s="32"/>
      <c r="AD332" s="32"/>
    </row>
    <row r="333" spans="28:30" x14ac:dyDescent="0.25">
      <c r="AB333" s="34"/>
      <c r="AC333" s="32"/>
      <c r="AD333" s="32"/>
    </row>
    <row r="334" spans="28:30" x14ac:dyDescent="0.25">
      <c r="AB334" s="34"/>
      <c r="AC334" s="32"/>
      <c r="AD334" s="32"/>
    </row>
    <row r="335" spans="28:30" x14ac:dyDescent="0.25">
      <c r="AB335" s="34"/>
      <c r="AC335" s="32"/>
      <c r="AD335" s="32"/>
    </row>
    <row r="336" spans="28:30" x14ac:dyDescent="0.25">
      <c r="AB336" s="34"/>
      <c r="AC336" s="32"/>
      <c r="AD336" s="32"/>
    </row>
    <row r="337" spans="28:30" x14ac:dyDescent="0.25">
      <c r="AB337" s="34"/>
      <c r="AC337" s="32"/>
      <c r="AD337" s="32"/>
    </row>
    <row r="338" spans="28:30" x14ac:dyDescent="0.25">
      <c r="AB338" s="34"/>
      <c r="AC338" s="32"/>
      <c r="AD338" s="32"/>
    </row>
    <row r="339" spans="28:30" x14ac:dyDescent="0.25">
      <c r="AB339" s="34"/>
      <c r="AC339" s="32"/>
      <c r="AD339" s="32"/>
    </row>
    <row r="340" spans="28:30" x14ac:dyDescent="0.25">
      <c r="AB340" s="34"/>
      <c r="AC340" s="32"/>
      <c r="AD340" s="32"/>
    </row>
    <row r="341" spans="28:30" x14ac:dyDescent="0.25">
      <c r="AB341" s="34"/>
      <c r="AC341" s="32"/>
      <c r="AD341" s="32"/>
    </row>
    <row r="342" spans="28:30" x14ac:dyDescent="0.25">
      <c r="AB342" s="34"/>
      <c r="AC342" s="32"/>
      <c r="AD342" s="32"/>
    </row>
    <row r="343" spans="28:30" x14ac:dyDescent="0.25">
      <c r="AB343" s="34"/>
      <c r="AC343" s="32"/>
      <c r="AD343" s="32"/>
    </row>
    <row r="344" spans="28:30" x14ac:dyDescent="0.25">
      <c r="AB344" s="34"/>
      <c r="AC344" s="32"/>
      <c r="AD344" s="32"/>
    </row>
    <row r="345" spans="28:30" x14ac:dyDescent="0.25">
      <c r="AB345" s="34"/>
      <c r="AC345" s="32"/>
      <c r="AD345" s="32"/>
    </row>
    <row r="346" spans="28:30" x14ac:dyDescent="0.25">
      <c r="AB346" s="34"/>
      <c r="AC346" s="32"/>
      <c r="AD346" s="32"/>
    </row>
    <row r="347" spans="28:30" x14ac:dyDescent="0.25">
      <c r="AB347" s="34"/>
      <c r="AC347" s="32"/>
      <c r="AD347" s="32"/>
    </row>
    <row r="348" spans="28:30" x14ac:dyDescent="0.25">
      <c r="AB348" s="34"/>
      <c r="AC348" s="32"/>
      <c r="AD348" s="32"/>
    </row>
    <row r="349" spans="28:30" x14ac:dyDescent="0.25">
      <c r="AB349" s="34"/>
      <c r="AC349" s="32"/>
      <c r="AD349" s="32"/>
    </row>
    <row r="350" spans="28:30" x14ac:dyDescent="0.25">
      <c r="AB350" s="34"/>
      <c r="AC350" s="32"/>
      <c r="AD350" s="32"/>
    </row>
    <row r="351" spans="28:30" x14ac:dyDescent="0.25">
      <c r="AB351" s="34"/>
      <c r="AC351" s="32"/>
      <c r="AD351" s="32"/>
    </row>
    <row r="352" spans="28:30" x14ac:dyDescent="0.25">
      <c r="AB352" s="34"/>
      <c r="AC352" s="32"/>
      <c r="AD352" s="32"/>
    </row>
    <row r="353" spans="28:30" x14ac:dyDescent="0.25">
      <c r="AB353" s="34"/>
      <c r="AC353" s="32"/>
      <c r="AD353" s="32"/>
    </row>
    <row r="354" spans="28:30" x14ac:dyDescent="0.25">
      <c r="AB354" s="34"/>
      <c r="AC354" s="32"/>
      <c r="AD354" s="32"/>
    </row>
    <row r="355" spans="28:30" x14ac:dyDescent="0.25">
      <c r="AB355" s="34"/>
      <c r="AC355" s="32"/>
      <c r="AD355" s="32"/>
    </row>
    <row r="356" spans="28:30" x14ac:dyDescent="0.25">
      <c r="AB356" s="34"/>
      <c r="AC356" s="32"/>
      <c r="AD356" s="32"/>
    </row>
    <row r="357" spans="28:30" x14ac:dyDescent="0.25">
      <c r="AB357" s="34"/>
      <c r="AC357" s="32"/>
      <c r="AD357" s="32"/>
    </row>
    <row r="358" spans="28:30" x14ac:dyDescent="0.25">
      <c r="AB358" s="34"/>
      <c r="AC358" s="32"/>
      <c r="AD358" s="32"/>
    </row>
    <row r="359" spans="28:30" x14ac:dyDescent="0.25">
      <c r="AB359" s="34"/>
      <c r="AC359" s="32"/>
      <c r="AD359" s="32"/>
    </row>
    <row r="360" spans="28:30" x14ac:dyDescent="0.25">
      <c r="AB360" s="34"/>
      <c r="AC360" s="32"/>
      <c r="AD360" s="32"/>
    </row>
    <row r="361" spans="28:30" x14ac:dyDescent="0.25">
      <c r="AB361" s="34"/>
      <c r="AC361" s="32"/>
      <c r="AD361" s="32"/>
    </row>
    <row r="362" spans="28:30" x14ac:dyDescent="0.25">
      <c r="AB362" s="34"/>
      <c r="AC362" s="32"/>
      <c r="AD362" s="32"/>
    </row>
    <row r="363" spans="28:30" x14ac:dyDescent="0.25">
      <c r="AB363" s="34"/>
      <c r="AC363" s="32"/>
      <c r="AD363" s="32"/>
    </row>
    <row r="364" spans="28:30" x14ac:dyDescent="0.25">
      <c r="AB364" s="34"/>
      <c r="AC364" s="32"/>
      <c r="AD364" s="32"/>
    </row>
    <row r="365" spans="28:30" x14ac:dyDescent="0.25">
      <c r="AB365" s="34"/>
      <c r="AC365" s="32"/>
      <c r="AD365" s="32"/>
    </row>
    <row r="366" spans="28:30" x14ac:dyDescent="0.25">
      <c r="AB366" s="34"/>
      <c r="AC366" s="32"/>
      <c r="AD366" s="32"/>
    </row>
    <row r="367" spans="28:30" x14ac:dyDescent="0.25">
      <c r="AB367" s="34"/>
      <c r="AC367" s="32"/>
      <c r="AD367" s="32"/>
    </row>
    <row r="368" spans="28:30" x14ac:dyDescent="0.25">
      <c r="AB368" s="34"/>
      <c r="AC368" s="32"/>
      <c r="AD368" s="32"/>
    </row>
    <row r="369" spans="28:30" x14ac:dyDescent="0.25">
      <c r="AB369" s="34"/>
      <c r="AC369" s="32"/>
      <c r="AD369" s="32"/>
    </row>
    <row r="370" spans="28:30" x14ac:dyDescent="0.25">
      <c r="AB370" s="34"/>
      <c r="AC370" s="32"/>
      <c r="AD370" s="32"/>
    </row>
    <row r="371" spans="28:30" x14ac:dyDescent="0.25">
      <c r="AB371" s="34"/>
      <c r="AC371" s="32"/>
      <c r="AD371" s="32"/>
    </row>
    <row r="372" spans="28:30" x14ac:dyDescent="0.25">
      <c r="AB372" s="34"/>
      <c r="AC372" s="32"/>
      <c r="AD372" s="32"/>
    </row>
    <row r="373" spans="28:30" x14ac:dyDescent="0.25">
      <c r="AB373" s="34"/>
      <c r="AC373" s="32"/>
      <c r="AD373" s="32"/>
    </row>
    <row r="374" spans="28:30" x14ac:dyDescent="0.25">
      <c r="AB374" s="34"/>
      <c r="AC374" s="32"/>
      <c r="AD374" s="32"/>
    </row>
    <row r="375" spans="28:30" x14ac:dyDescent="0.25">
      <c r="AB375" s="34"/>
      <c r="AC375" s="32"/>
      <c r="AD375" s="32"/>
    </row>
    <row r="376" spans="28:30" x14ac:dyDescent="0.25">
      <c r="AB376" s="34"/>
      <c r="AC376" s="32"/>
      <c r="AD376" s="32"/>
    </row>
    <row r="377" spans="28:30" x14ac:dyDescent="0.25">
      <c r="AB377" s="34"/>
      <c r="AC377" s="32"/>
      <c r="AD377" s="32"/>
    </row>
    <row r="378" spans="28:30" x14ac:dyDescent="0.25">
      <c r="AB378" s="34"/>
      <c r="AC378" s="32"/>
      <c r="AD378" s="32"/>
    </row>
    <row r="379" spans="28:30" x14ac:dyDescent="0.25">
      <c r="AB379" s="34"/>
      <c r="AC379" s="32"/>
      <c r="AD379" s="32"/>
    </row>
    <row r="380" spans="28:30" x14ac:dyDescent="0.25">
      <c r="AB380" s="34"/>
      <c r="AC380" s="32"/>
      <c r="AD380" s="32"/>
    </row>
    <row r="381" spans="28:30" x14ac:dyDescent="0.25">
      <c r="AB381" s="34"/>
      <c r="AC381" s="32"/>
      <c r="AD381" s="32"/>
    </row>
    <row r="382" spans="28:30" x14ac:dyDescent="0.25">
      <c r="AB382" s="34"/>
      <c r="AC382" s="32"/>
      <c r="AD382" s="32"/>
    </row>
    <row r="383" spans="28:30" x14ac:dyDescent="0.25">
      <c r="AB383" s="34"/>
      <c r="AC383" s="32"/>
      <c r="AD383" s="32"/>
    </row>
    <row r="384" spans="28:30" x14ac:dyDescent="0.25">
      <c r="AB384" s="34"/>
      <c r="AC384" s="32"/>
      <c r="AD384" s="32"/>
    </row>
    <row r="385" spans="28:30" x14ac:dyDescent="0.25">
      <c r="AB385" s="34"/>
      <c r="AC385" s="32"/>
      <c r="AD385" s="32"/>
    </row>
    <row r="386" spans="28:30" x14ac:dyDescent="0.25">
      <c r="AB386" s="34"/>
      <c r="AC386" s="32"/>
      <c r="AD386" s="32"/>
    </row>
    <row r="387" spans="28:30" x14ac:dyDescent="0.25">
      <c r="AB387" s="34"/>
      <c r="AC387" s="32"/>
      <c r="AD387" s="32"/>
    </row>
    <row r="388" spans="28:30" x14ac:dyDescent="0.25">
      <c r="AB388" s="34"/>
      <c r="AC388" s="32"/>
      <c r="AD388" s="32"/>
    </row>
    <row r="389" spans="28:30" x14ac:dyDescent="0.25">
      <c r="AB389" s="34"/>
      <c r="AC389" s="32"/>
      <c r="AD389" s="32"/>
    </row>
    <row r="390" spans="28:30" x14ac:dyDescent="0.25">
      <c r="AB390" s="34"/>
      <c r="AC390" s="32"/>
      <c r="AD390" s="32"/>
    </row>
    <row r="391" spans="28:30" x14ac:dyDescent="0.25">
      <c r="AB391" s="34"/>
      <c r="AC391" s="32"/>
      <c r="AD391" s="32"/>
    </row>
    <row r="392" spans="28:30" x14ac:dyDescent="0.25">
      <c r="AB392" s="34"/>
      <c r="AC392" s="32"/>
      <c r="AD392" s="32"/>
    </row>
    <row r="393" spans="28:30" x14ac:dyDescent="0.25">
      <c r="AB393" s="34"/>
      <c r="AC393" s="32"/>
      <c r="AD393" s="32"/>
    </row>
    <row r="394" spans="28:30" x14ac:dyDescent="0.25">
      <c r="AB394" s="34"/>
      <c r="AC394" s="32"/>
      <c r="AD394" s="32"/>
    </row>
    <row r="395" spans="28:30" x14ac:dyDescent="0.25">
      <c r="AB395" s="34"/>
      <c r="AC395" s="32"/>
      <c r="AD395" s="32"/>
    </row>
    <row r="396" spans="28:30" x14ac:dyDescent="0.25">
      <c r="AB396" s="34"/>
      <c r="AC396" s="32"/>
      <c r="AD396" s="32"/>
    </row>
    <row r="397" spans="28:30" x14ac:dyDescent="0.25">
      <c r="AB397" s="34"/>
      <c r="AC397" s="32"/>
      <c r="AD397" s="32"/>
    </row>
    <row r="398" spans="28:30" x14ac:dyDescent="0.25">
      <c r="AB398" s="34"/>
      <c r="AC398" s="32"/>
      <c r="AD398" s="32"/>
    </row>
    <row r="399" spans="28:30" x14ac:dyDescent="0.25">
      <c r="AB399" s="34"/>
      <c r="AC399" s="32"/>
      <c r="AD399" s="32"/>
    </row>
    <row r="400" spans="28:30" x14ac:dyDescent="0.25">
      <c r="AB400" s="34"/>
      <c r="AC400" s="32"/>
      <c r="AD400" s="32"/>
    </row>
    <row r="401" spans="28:30" x14ac:dyDescent="0.25">
      <c r="AB401" s="34"/>
      <c r="AC401" s="32"/>
      <c r="AD401" s="32"/>
    </row>
    <row r="402" spans="28:30" x14ac:dyDescent="0.25">
      <c r="AB402" s="34"/>
      <c r="AC402" s="32"/>
      <c r="AD402" s="32"/>
    </row>
    <row r="403" spans="28:30" x14ac:dyDescent="0.25">
      <c r="AB403" s="34"/>
      <c r="AC403" s="32"/>
      <c r="AD403" s="32"/>
    </row>
    <row r="404" spans="28:30" x14ac:dyDescent="0.25">
      <c r="AB404" s="34"/>
      <c r="AC404" s="32"/>
      <c r="AD404" s="32"/>
    </row>
    <row r="405" spans="28:30" x14ac:dyDescent="0.25">
      <c r="AB405" s="34"/>
      <c r="AC405" s="32"/>
      <c r="AD405" s="32"/>
    </row>
    <row r="406" spans="28:30" x14ac:dyDescent="0.25">
      <c r="AB406" s="34"/>
      <c r="AC406" s="32"/>
      <c r="AD406" s="32"/>
    </row>
    <row r="407" spans="28:30" x14ac:dyDescent="0.25">
      <c r="AB407" s="34"/>
      <c r="AC407" s="32"/>
      <c r="AD407" s="32"/>
    </row>
    <row r="408" spans="28:30" x14ac:dyDescent="0.25">
      <c r="AB408" s="34"/>
      <c r="AC408" s="32"/>
      <c r="AD408" s="32"/>
    </row>
    <row r="409" spans="28:30" x14ac:dyDescent="0.25">
      <c r="AB409" s="34"/>
      <c r="AC409" s="32"/>
      <c r="AD409" s="32"/>
    </row>
    <row r="410" spans="28:30" x14ac:dyDescent="0.25">
      <c r="AB410" s="34"/>
      <c r="AC410" s="32"/>
      <c r="AD410" s="32"/>
    </row>
    <row r="411" spans="28:30" x14ac:dyDescent="0.25">
      <c r="AB411" s="34"/>
      <c r="AC411" s="32"/>
      <c r="AD411" s="32"/>
    </row>
    <row r="412" spans="28:30" x14ac:dyDescent="0.25">
      <c r="AB412" s="34"/>
      <c r="AC412" s="32"/>
      <c r="AD412" s="32"/>
    </row>
    <row r="413" spans="28:30" x14ac:dyDescent="0.25">
      <c r="AB413" s="34"/>
      <c r="AC413" s="32"/>
      <c r="AD413" s="32"/>
    </row>
    <row r="414" spans="28:30" x14ac:dyDescent="0.25">
      <c r="AB414" s="34"/>
      <c r="AC414" s="32"/>
      <c r="AD414" s="32"/>
    </row>
    <row r="415" spans="28:30" x14ac:dyDescent="0.25">
      <c r="AB415" s="34"/>
      <c r="AC415" s="32"/>
      <c r="AD415" s="32"/>
    </row>
    <row r="416" spans="28:30" x14ac:dyDescent="0.25">
      <c r="AB416" s="34"/>
      <c r="AC416" s="32"/>
      <c r="AD416" s="32"/>
    </row>
    <row r="417" spans="28:30" x14ac:dyDescent="0.25">
      <c r="AB417" s="34"/>
      <c r="AC417" s="32"/>
      <c r="AD417" s="32"/>
    </row>
    <row r="418" spans="28:30" x14ac:dyDescent="0.25">
      <c r="AB418" s="34"/>
      <c r="AC418" s="32"/>
      <c r="AD418" s="32"/>
    </row>
    <row r="419" spans="28:30" x14ac:dyDescent="0.25">
      <c r="AB419" s="34"/>
      <c r="AC419" s="32"/>
      <c r="AD419" s="32"/>
    </row>
    <row r="420" spans="28:30" x14ac:dyDescent="0.25">
      <c r="AB420" s="34"/>
      <c r="AC420" s="32"/>
      <c r="AD420" s="32"/>
    </row>
    <row r="421" spans="28:30" x14ac:dyDescent="0.25">
      <c r="AB421" s="34"/>
      <c r="AC421" s="32"/>
      <c r="AD421" s="32"/>
    </row>
    <row r="422" spans="28:30" x14ac:dyDescent="0.25">
      <c r="AB422" s="34"/>
      <c r="AC422" s="32"/>
      <c r="AD422" s="32"/>
    </row>
    <row r="423" spans="28:30" x14ac:dyDescent="0.25">
      <c r="AB423" s="34"/>
      <c r="AC423" s="32"/>
      <c r="AD423" s="32"/>
    </row>
    <row r="424" spans="28:30" x14ac:dyDescent="0.25">
      <c r="AB424" s="34"/>
      <c r="AC424" s="32"/>
      <c r="AD424" s="32"/>
    </row>
    <row r="425" spans="28:30" x14ac:dyDescent="0.25">
      <c r="AB425" s="34"/>
      <c r="AC425" s="32"/>
      <c r="AD425" s="32"/>
    </row>
    <row r="426" spans="28:30" x14ac:dyDescent="0.25">
      <c r="AB426" s="34"/>
      <c r="AC426" s="32"/>
      <c r="AD426" s="32"/>
    </row>
    <row r="427" spans="28:30" x14ac:dyDescent="0.25">
      <c r="AB427" s="34"/>
      <c r="AC427" s="32"/>
      <c r="AD427" s="32"/>
    </row>
    <row r="428" spans="28:30" x14ac:dyDescent="0.25">
      <c r="AB428" s="34"/>
      <c r="AC428" s="32"/>
      <c r="AD428" s="32"/>
    </row>
    <row r="429" spans="28:30" x14ac:dyDescent="0.25">
      <c r="AB429" s="34"/>
      <c r="AC429" s="32"/>
      <c r="AD429" s="32"/>
    </row>
    <row r="430" spans="28:30" x14ac:dyDescent="0.25">
      <c r="AB430" s="34"/>
      <c r="AC430" s="32"/>
      <c r="AD430" s="32"/>
    </row>
    <row r="431" spans="28:30" x14ac:dyDescent="0.25">
      <c r="AB431" s="34"/>
      <c r="AC431" s="32"/>
      <c r="AD431" s="32"/>
    </row>
    <row r="432" spans="28:30" x14ac:dyDescent="0.25">
      <c r="AB432" s="34"/>
      <c r="AC432" s="32"/>
      <c r="AD432" s="32"/>
    </row>
    <row r="433" spans="28:30" x14ac:dyDescent="0.25">
      <c r="AB433" s="34"/>
      <c r="AC433" s="32"/>
      <c r="AD433" s="32"/>
    </row>
    <row r="434" spans="28:30" x14ac:dyDescent="0.25">
      <c r="AB434" s="34"/>
      <c r="AC434" s="32"/>
      <c r="AD434" s="32"/>
    </row>
    <row r="435" spans="28:30" x14ac:dyDescent="0.25">
      <c r="AB435" s="34"/>
      <c r="AC435" s="32"/>
      <c r="AD435" s="32"/>
    </row>
    <row r="436" spans="28:30" x14ac:dyDescent="0.25">
      <c r="AB436" s="34"/>
      <c r="AC436" s="32"/>
      <c r="AD436" s="32"/>
    </row>
    <row r="437" spans="28:30" x14ac:dyDescent="0.25">
      <c r="AB437" s="34"/>
      <c r="AC437" s="32"/>
      <c r="AD437" s="32"/>
    </row>
    <row r="438" spans="28:30" x14ac:dyDescent="0.25">
      <c r="AB438" s="34"/>
      <c r="AC438" s="32"/>
      <c r="AD438" s="32"/>
    </row>
    <row r="439" spans="28:30" x14ac:dyDescent="0.25">
      <c r="AB439" s="34"/>
      <c r="AC439" s="32"/>
      <c r="AD439" s="32"/>
    </row>
    <row r="440" spans="28:30" x14ac:dyDescent="0.25">
      <c r="AB440" s="34"/>
      <c r="AC440" s="32"/>
      <c r="AD440" s="32"/>
    </row>
    <row r="441" spans="28:30" x14ac:dyDescent="0.25">
      <c r="AB441" s="34"/>
      <c r="AC441" s="32"/>
      <c r="AD441" s="32"/>
    </row>
    <row r="442" spans="28:30" x14ac:dyDescent="0.25">
      <c r="AB442" s="34"/>
      <c r="AC442" s="32"/>
      <c r="AD442" s="32"/>
    </row>
    <row r="443" spans="28:30" x14ac:dyDescent="0.25">
      <c r="AB443" s="34"/>
      <c r="AC443" s="32"/>
      <c r="AD443" s="32"/>
    </row>
    <row r="444" spans="28:30" x14ac:dyDescent="0.25">
      <c r="AB444" s="34"/>
      <c r="AC444" s="32"/>
      <c r="AD444" s="32"/>
    </row>
    <row r="445" spans="28:30" x14ac:dyDescent="0.25">
      <c r="AB445" s="34"/>
      <c r="AC445" s="32"/>
      <c r="AD445" s="32"/>
    </row>
    <row r="446" spans="28:30" x14ac:dyDescent="0.25">
      <c r="AB446" s="34"/>
      <c r="AC446" s="32"/>
      <c r="AD446" s="32"/>
    </row>
    <row r="447" spans="28:30" x14ac:dyDescent="0.25">
      <c r="AB447" s="34"/>
      <c r="AC447" s="32"/>
      <c r="AD447" s="32"/>
    </row>
    <row r="448" spans="28:30" x14ac:dyDescent="0.25">
      <c r="AB448" s="34"/>
      <c r="AC448" s="32"/>
      <c r="AD448" s="32"/>
    </row>
    <row r="449" spans="28:30" x14ac:dyDescent="0.25">
      <c r="AB449" s="34"/>
      <c r="AC449" s="32"/>
      <c r="AD449" s="32"/>
    </row>
    <row r="450" spans="28:30" x14ac:dyDescent="0.25">
      <c r="AB450" s="34"/>
      <c r="AC450" s="32"/>
      <c r="AD450" s="32"/>
    </row>
    <row r="451" spans="28:30" x14ac:dyDescent="0.25">
      <c r="AB451" s="34"/>
      <c r="AC451" s="32"/>
      <c r="AD451" s="32"/>
    </row>
    <row r="452" spans="28:30" x14ac:dyDescent="0.25">
      <c r="AB452" s="34"/>
      <c r="AC452" s="32"/>
      <c r="AD452" s="32"/>
    </row>
    <row r="453" spans="28:30" x14ac:dyDescent="0.25">
      <c r="AB453" s="34"/>
      <c r="AC453" s="32"/>
      <c r="AD453" s="32"/>
    </row>
    <row r="454" spans="28:30" x14ac:dyDescent="0.25">
      <c r="AB454" s="34"/>
      <c r="AC454" s="32"/>
      <c r="AD454" s="32"/>
    </row>
    <row r="455" spans="28:30" x14ac:dyDescent="0.25">
      <c r="AB455" s="34"/>
      <c r="AC455" s="32"/>
      <c r="AD455" s="32"/>
    </row>
    <row r="456" spans="28:30" x14ac:dyDescent="0.25">
      <c r="AB456" s="34"/>
      <c r="AC456" s="32"/>
      <c r="AD456" s="32"/>
    </row>
    <row r="457" spans="28:30" x14ac:dyDescent="0.25">
      <c r="AB457" s="34"/>
      <c r="AC457" s="32"/>
      <c r="AD457" s="32"/>
    </row>
    <row r="458" spans="28:30" x14ac:dyDescent="0.25">
      <c r="AB458" s="34"/>
      <c r="AC458" s="32"/>
      <c r="AD458" s="32"/>
    </row>
    <row r="459" spans="28:30" x14ac:dyDescent="0.25">
      <c r="AB459" s="34"/>
      <c r="AC459" s="32"/>
      <c r="AD459" s="32"/>
    </row>
    <row r="460" spans="28:30" x14ac:dyDescent="0.25">
      <c r="AB460" s="34"/>
      <c r="AC460" s="32"/>
      <c r="AD460" s="32"/>
    </row>
    <row r="461" spans="28:30" x14ac:dyDescent="0.25">
      <c r="AB461" s="34"/>
      <c r="AC461" s="32"/>
      <c r="AD461" s="32"/>
    </row>
    <row r="462" spans="28:30" x14ac:dyDescent="0.25">
      <c r="AB462" s="34"/>
      <c r="AC462" s="32"/>
      <c r="AD462" s="32"/>
    </row>
    <row r="463" spans="28:30" x14ac:dyDescent="0.25">
      <c r="AB463" s="34"/>
      <c r="AC463" s="32"/>
      <c r="AD463" s="32"/>
    </row>
    <row r="464" spans="28:30" x14ac:dyDescent="0.25">
      <c r="AB464" s="34"/>
      <c r="AC464" s="32"/>
      <c r="AD464" s="32"/>
    </row>
    <row r="465" spans="28:30" x14ac:dyDescent="0.25">
      <c r="AB465" s="34"/>
      <c r="AC465" s="32"/>
      <c r="AD465" s="32"/>
    </row>
    <row r="466" spans="28:30" x14ac:dyDescent="0.25">
      <c r="AB466" s="34"/>
      <c r="AC466" s="32"/>
      <c r="AD466" s="32"/>
    </row>
    <row r="467" spans="28:30" x14ac:dyDescent="0.25">
      <c r="AB467" s="34"/>
      <c r="AC467" s="32"/>
      <c r="AD467" s="32"/>
    </row>
    <row r="468" spans="28:30" x14ac:dyDescent="0.25">
      <c r="AB468" s="34"/>
      <c r="AC468" s="32"/>
      <c r="AD468" s="32"/>
    </row>
    <row r="469" spans="28:30" x14ac:dyDescent="0.25">
      <c r="AB469" s="34"/>
      <c r="AC469" s="32"/>
      <c r="AD469" s="32"/>
    </row>
    <row r="470" spans="28:30" x14ac:dyDescent="0.25">
      <c r="AB470" s="34"/>
      <c r="AC470" s="32"/>
      <c r="AD470" s="32"/>
    </row>
    <row r="471" spans="28:30" x14ac:dyDescent="0.25">
      <c r="AB471" s="34"/>
      <c r="AC471" s="32"/>
      <c r="AD471" s="32"/>
    </row>
    <row r="472" spans="28:30" x14ac:dyDescent="0.25">
      <c r="AB472" s="34"/>
      <c r="AC472" s="32"/>
      <c r="AD472" s="32"/>
    </row>
    <row r="473" spans="28:30" x14ac:dyDescent="0.25">
      <c r="AB473" s="34"/>
      <c r="AC473" s="32"/>
      <c r="AD473" s="32"/>
    </row>
    <row r="474" spans="28:30" x14ac:dyDescent="0.25">
      <c r="AB474" s="34"/>
      <c r="AC474" s="32"/>
      <c r="AD474" s="32"/>
    </row>
    <row r="475" spans="28:30" x14ac:dyDescent="0.25">
      <c r="AB475" s="34"/>
      <c r="AC475" s="32"/>
      <c r="AD475" s="32"/>
    </row>
    <row r="476" spans="28:30" x14ac:dyDescent="0.25">
      <c r="AB476" s="34"/>
      <c r="AC476" s="32"/>
      <c r="AD476" s="32"/>
    </row>
    <row r="477" spans="28:30" x14ac:dyDescent="0.25">
      <c r="AB477" s="34"/>
      <c r="AC477" s="32"/>
      <c r="AD477" s="32"/>
    </row>
    <row r="478" spans="28:30" x14ac:dyDescent="0.25">
      <c r="AB478" s="34"/>
      <c r="AC478" s="32"/>
      <c r="AD478" s="32"/>
    </row>
    <row r="479" spans="28:30" x14ac:dyDescent="0.25">
      <c r="AB479" s="34"/>
      <c r="AC479" s="32"/>
      <c r="AD479" s="32"/>
    </row>
    <row r="480" spans="28:30" x14ac:dyDescent="0.25">
      <c r="AB480" s="34"/>
      <c r="AC480" s="32"/>
      <c r="AD480" s="32"/>
    </row>
    <row r="481" spans="28:30" x14ac:dyDescent="0.25">
      <c r="AB481" s="34"/>
      <c r="AC481" s="32"/>
      <c r="AD481" s="32"/>
    </row>
    <row r="482" spans="28:30" x14ac:dyDescent="0.25">
      <c r="AB482" s="34"/>
      <c r="AC482" s="32"/>
      <c r="AD482" s="32"/>
    </row>
    <row r="483" spans="28:30" x14ac:dyDescent="0.25">
      <c r="AB483" s="34"/>
      <c r="AC483" s="32"/>
      <c r="AD483" s="32"/>
    </row>
    <row r="484" spans="28:30" x14ac:dyDescent="0.25">
      <c r="AB484" s="34"/>
      <c r="AC484" s="32"/>
      <c r="AD484" s="32"/>
    </row>
    <row r="485" spans="28:30" x14ac:dyDescent="0.25">
      <c r="AB485" s="34"/>
      <c r="AC485" s="32"/>
      <c r="AD485" s="32"/>
    </row>
    <row r="486" spans="28:30" x14ac:dyDescent="0.25">
      <c r="AB486" s="34"/>
      <c r="AC486" s="32"/>
      <c r="AD486" s="32"/>
    </row>
    <row r="487" spans="28:30" x14ac:dyDescent="0.25">
      <c r="AB487" s="34"/>
      <c r="AC487" s="32"/>
      <c r="AD487" s="32"/>
    </row>
    <row r="488" spans="28:30" x14ac:dyDescent="0.25">
      <c r="AB488" s="34"/>
      <c r="AC488" s="32"/>
      <c r="AD488" s="32"/>
    </row>
    <row r="489" spans="28:30" x14ac:dyDescent="0.25">
      <c r="AB489" s="34"/>
      <c r="AC489" s="32"/>
      <c r="AD489" s="32"/>
    </row>
    <row r="490" spans="28:30" x14ac:dyDescent="0.25">
      <c r="AB490" s="34"/>
      <c r="AC490" s="32"/>
      <c r="AD490" s="32"/>
    </row>
    <row r="491" spans="28:30" x14ac:dyDescent="0.25">
      <c r="AB491" s="34"/>
      <c r="AC491" s="32"/>
      <c r="AD491" s="32"/>
    </row>
    <row r="492" spans="28:30" x14ac:dyDescent="0.25">
      <c r="AB492" s="34"/>
      <c r="AC492" s="32"/>
      <c r="AD492" s="32"/>
    </row>
    <row r="493" spans="28:30" x14ac:dyDescent="0.25">
      <c r="AB493" s="34"/>
      <c r="AC493" s="32"/>
      <c r="AD493" s="32"/>
    </row>
    <row r="494" spans="28:30" x14ac:dyDescent="0.25">
      <c r="AB494" s="34"/>
      <c r="AC494" s="32"/>
      <c r="AD494" s="32"/>
    </row>
    <row r="495" spans="28:30" x14ac:dyDescent="0.25">
      <c r="AB495" s="34"/>
      <c r="AC495" s="32"/>
      <c r="AD495" s="32"/>
    </row>
    <row r="496" spans="28:30" x14ac:dyDescent="0.25">
      <c r="AB496" s="34"/>
      <c r="AC496" s="32"/>
      <c r="AD496" s="32"/>
    </row>
    <row r="497" spans="28:30" x14ac:dyDescent="0.25">
      <c r="AB497" s="34"/>
      <c r="AC497" s="32"/>
      <c r="AD497" s="32"/>
    </row>
    <row r="498" spans="28:30" x14ac:dyDescent="0.25">
      <c r="AB498" s="34"/>
      <c r="AC498" s="32"/>
      <c r="AD498" s="32"/>
    </row>
    <row r="499" spans="28:30" x14ac:dyDescent="0.25">
      <c r="AB499" s="34"/>
      <c r="AC499" s="32"/>
      <c r="AD499" s="32"/>
    </row>
    <row r="500" spans="28:30" x14ac:dyDescent="0.25">
      <c r="AB500" s="34"/>
      <c r="AC500" s="32"/>
      <c r="AD500" s="32"/>
    </row>
    <row r="501" spans="28:30" x14ac:dyDescent="0.25">
      <c r="AB501" s="34"/>
      <c r="AC501" s="32"/>
      <c r="AD501" s="32"/>
    </row>
    <row r="502" spans="28:30" x14ac:dyDescent="0.25">
      <c r="AB502" s="34"/>
      <c r="AC502" s="32"/>
      <c r="AD502" s="32"/>
    </row>
    <row r="503" spans="28:30" x14ac:dyDescent="0.25">
      <c r="AB503" s="34"/>
      <c r="AC503" s="32"/>
      <c r="AD503" s="32"/>
    </row>
    <row r="504" spans="28:30" x14ac:dyDescent="0.25">
      <c r="AB504" s="34"/>
      <c r="AC504" s="32"/>
      <c r="AD504" s="32"/>
    </row>
    <row r="505" spans="28:30" x14ac:dyDescent="0.25">
      <c r="AB505" s="34"/>
      <c r="AC505" s="32"/>
      <c r="AD505" s="32"/>
    </row>
    <row r="506" spans="28:30" x14ac:dyDescent="0.25">
      <c r="AB506" s="34"/>
      <c r="AC506" s="32"/>
      <c r="AD506" s="32"/>
    </row>
    <row r="507" spans="28:30" x14ac:dyDescent="0.25">
      <c r="AB507" s="34"/>
      <c r="AC507" s="32"/>
      <c r="AD507" s="32"/>
    </row>
    <row r="508" spans="28:30" x14ac:dyDescent="0.25">
      <c r="AB508" s="34"/>
      <c r="AC508" s="32"/>
      <c r="AD508" s="32"/>
    </row>
    <row r="509" spans="28:30" x14ac:dyDescent="0.25">
      <c r="AB509" s="34"/>
      <c r="AC509" s="32"/>
      <c r="AD509" s="32"/>
    </row>
    <row r="510" spans="28:30" x14ac:dyDescent="0.25">
      <c r="AB510" s="34"/>
      <c r="AC510" s="32"/>
      <c r="AD510" s="32"/>
    </row>
    <row r="511" spans="28:30" x14ac:dyDescent="0.25">
      <c r="AB511" s="34"/>
      <c r="AC511" s="32"/>
      <c r="AD511" s="32"/>
    </row>
    <row r="512" spans="28:30" x14ac:dyDescent="0.25">
      <c r="AB512" s="34"/>
      <c r="AC512" s="32"/>
      <c r="AD512" s="32"/>
    </row>
    <row r="513" spans="28:30" x14ac:dyDescent="0.25">
      <c r="AB513" s="34"/>
      <c r="AC513" s="32"/>
      <c r="AD513" s="32"/>
    </row>
    <row r="514" spans="28:30" x14ac:dyDescent="0.25">
      <c r="AB514" s="34"/>
      <c r="AC514" s="32"/>
      <c r="AD514" s="32"/>
    </row>
    <row r="515" spans="28:30" x14ac:dyDescent="0.25">
      <c r="AB515" s="34"/>
      <c r="AC515" s="32"/>
      <c r="AD515" s="32"/>
    </row>
    <row r="516" spans="28:30" x14ac:dyDescent="0.25">
      <c r="AB516" s="34"/>
      <c r="AC516" s="32"/>
      <c r="AD516" s="32"/>
    </row>
    <row r="517" spans="28:30" x14ac:dyDescent="0.25">
      <c r="AB517" s="34"/>
      <c r="AC517" s="32"/>
      <c r="AD517" s="32"/>
    </row>
    <row r="518" spans="28:30" x14ac:dyDescent="0.25">
      <c r="AB518" s="34"/>
      <c r="AC518" s="32"/>
      <c r="AD518" s="32"/>
    </row>
    <row r="519" spans="28:30" x14ac:dyDescent="0.25">
      <c r="AB519" s="34"/>
      <c r="AC519" s="32"/>
      <c r="AD519" s="32"/>
    </row>
    <row r="520" spans="28:30" x14ac:dyDescent="0.25">
      <c r="AB520" s="34"/>
      <c r="AC520" s="32"/>
      <c r="AD520" s="32"/>
    </row>
    <row r="521" spans="28:30" x14ac:dyDescent="0.25">
      <c r="AB521" s="34"/>
      <c r="AC521" s="32"/>
      <c r="AD521" s="32"/>
    </row>
    <row r="522" spans="28:30" x14ac:dyDescent="0.25">
      <c r="AB522" s="34"/>
      <c r="AC522" s="32"/>
      <c r="AD522" s="32"/>
    </row>
    <row r="523" spans="28:30" x14ac:dyDescent="0.25">
      <c r="AB523" s="34"/>
      <c r="AC523" s="32"/>
      <c r="AD523" s="32"/>
    </row>
    <row r="524" spans="28:30" x14ac:dyDescent="0.25">
      <c r="AB524" s="34"/>
      <c r="AC524" s="32"/>
      <c r="AD524" s="32"/>
    </row>
    <row r="525" spans="28:30" x14ac:dyDescent="0.25">
      <c r="AB525" s="34"/>
      <c r="AC525" s="32"/>
      <c r="AD525" s="32"/>
    </row>
    <row r="526" spans="28:30" x14ac:dyDescent="0.25">
      <c r="AB526" s="34"/>
      <c r="AC526" s="32"/>
      <c r="AD526" s="32"/>
    </row>
    <row r="527" spans="28:30" x14ac:dyDescent="0.25">
      <c r="AB527" s="34"/>
      <c r="AC527" s="32"/>
      <c r="AD527" s="32"/>
    </row>
    <row r="528" spans="28:30" x14ac:dyDescent="0.25">
      <c r="AB528" s="34"/>
      <c r="AC528" s="32"/>
      <c r="AD528" s="32"/>
    </row>
    <row r="529" spans="28:30" x14ac:dyDescent="0.25">
      <c r="AB529" s="34"/>
      <c r="AC529" s="32"/>
      <c r="AD529" s="32"/>
    </row>
    <row r="530" spans="28:30" x14ac:dyDescent="0.25">
      <c r="AB530" s="34"/>
      <c r="AC530" s="32"/>
      <c r="AD530" s="32"/>
    </row>
    <row r="531" spans="28:30" x14ac:dyDescent="0.25">
      <c r="AB531" s="34"/>
      <c r="AC531" s="32"/>
      <c r="AD531" s="32"/>
    </row>
    <row r="532" spans="28:30" x14ac:dyDescent="0.25">
      <c r="AB532" s="34"/>
      <c r="AC532" s="32"/>
      <c r="AD532" s="32"/>
    </row>
    <row r="533" spans="28:30" x14ac:dyDescent="0.25">
      <c r="AB533" s="34"/>
      <c r="AC533" s="32"/>
      <c r="AD533" s="32"/>
    </row>
    <row r="534" spans="28:30" x14ac:dyDescent="0.25">
      <c r="AB534" s="34"/>
      <c r="AC534" s="32"/>
      <c r="AD534" s="32"/>
    </row>
    <row r="535" spans="28:30" x14ac:dyDescent="0.25">
      <c r="AB535" s="34"/>
      <c r="AC535" s="32"/>
      <c r="AD535" s="32"/>
    </row>
    <row r="536" spans="28:30" x14ac:dyDescent="0.25">
      <c r="AB536" s="34"/>
      <c r="AC536" s="32"/>
      <c r="AD536" s="32"/>
    </row>
    <row r="537" spans="28:30" x14ac:dyDescent="0.25">
      <c r="AB537" s="34"/>
      <c r="AC537" s="32"/>
      <c r="AD537" s="32"/>
    </row>
    <row r="538" spans="28:30" x14ac:dyDescent="0.25">
      <c r="AB538" s="34"/>
      <c r="AC538" s="32"/>
      <c r="AD538" s="32"/>
    </row>
    <row r="539" spans="28:30" x14ac:dyDescent="0.25">
      <c r="AB539" s="34"/>
      <c r="AC539" s="32"/>
      <c r="AD539" s="32"/>
    </row>
    <row r="540" spans="28:30" x14ac:dyDescent="0.25">
      <c r="AB540" s="34"/>
      <c r="AC540" s="32"/>
      <c r="AD540" s="32"/>
    </row>
    <row r="541" spans="28:30" x14ac:dyDescent="0.25">
      <c r="AB541" s="34"/>
      <c r="AC541" s="32"/>
      <c r="AD541" s="32"/>
    </row>
    <row r="542" spans="28:30" x14ac:dyDescent="0.25">
      <c r="AB542" s="34"/>
      <c r="AC542" s="32"/>
      <c r="AD542" s="32"/>
    </row>
    <row r="543" spans="28:30" x14ac:dyDescent="0.25">
      <c r="AB543" s="34"/>
      <c r="AC543" s="32"/>
      <c r="AD543" s="32"/>
    </row>
    <row r="544" spans="28:30" x14ac:dyDescent="0.25">
      <c r="AB544" s="34"/>
      <c r="AC544" s="32"/>
      <c r="AD544" s="32"/>
    </row>
    <row r="545" spans="28:30" x14ac:dyDescent="0.25">
      <c r="AB545" s="34"/>
      <c r="AC545" s="32"/>
      <c r="AD545" s="32"/>
    </row>
    <row r="546" spans="28:30" x14ac:dyDescent="0.25">
      <c r="AB546" s="34"/>
      <c r="AC546" s="32"/>
      <c r="AD546" s="32"/>
    </row>
    <row r="547" spans="28:30" x14ac:dyDescent="0.25">
      <c r="AB547" s="34"/>
      <c r="AC547" s="32"/>
      <c r="AD547" s="32"/>
    </row>
    <row r="548" spans="28:30" x14ac:dyDescent="0.25">
      <c r="AB548" s="34"/>
      <c r="AC548" s="32"/>
      <c r="AD548" s="32"/>
    </row>
    <row r="549" spans="28:30" x14ac:dyDescent="0.25">
      <c r="AB549" s="34"/>
      <c r="AC549" s="32"/>
      <c r="AD549" s="32"/>
    </row>
    <row r="550" spans="28:30" x14ac:dyDescent="0.25">
      <c r="AB550" s="34"/>
      <c r="AC550" s="32"/>
      <c r="AD550" s="32"/>
    </row>
    <row r="551" spans="28:30" x14ac:dyDescent="0.25">
      <c r="AB551" s="34"/>
      <c r="AC551" s="32"/>
      <c r="AD551" s="32"/>
    </row>
    <row r="552" spans="28:30" x14ac:dyDescent="0.25">
      <c r="AB552" s="34"/>
      <c r="AC552" s="32"/>
      <c r="AD552" s="32"/>
    </row>
    <row r="553" spans="28:30" x14ac:dyDescent="0.25">
      <c r="AB553" s="34"/>
      <c r="AC553" s="32"/>
      <c r="AD553" s="32"/>
    </row>
    <row r="554" spans="28:30" x14ac:dyDescent="0.25">
      <c r="AB554" s="34"/>
      <c r="AC554" s="32"/>
      <c r="AD554" s="32"/>
    </row>
    <row r="555" spans="28:30" x14ac:dyDescent="0.25">
      <c r="AB555" s="34"/>
      <c r="AC555" s="32"/>
      <c r="AD555" s="32"/>
    </row>
    <row r="556" spans="28:30" x14ac:dyDescent="0.25">
      <c r="AB556" s="34"/>
      <c r="AC556" s="32"/>
      <c r="AD556" s="32"/>
    </row>
    <row r="557" spans="28:30" x14ac:dyDescent="0.25">
      <c r="AB557" s="34"/>
      <c r="AC557" s="32"/>
      <c r="AD557" s="32"/>
    </row>
    <row r="558" spans="28:30" x14ac:dyDescent="0.25">
      <c r="AB558" s="34"/>
      <c r="AC558" s="32"/>
      <c r="AD558" s="32"/>
    </row>
    <row r="559" spans="28:30" x14ac:dyDescent="0.25">
      <c r="AB559" s="34"/>
      <c r="AC559" s="32"/>
      <c r="AD559" s="32"/>
    </row>
    <row r="560" spans="28:30" x14ac:dyDescent="0.25">
      <c r="AB560" s="34"/>
      <c r="AC560" s="32"/>
      <c r="AD560" s="32"/>
    </row>
    <row r="561" spans="28:30" x14ac:dyDescent="0.25">
      <c r="AB561" s="34"/>
      <c r="AC561" s="32"/>
      <c r="AD561" s="32"/>
    </row>
    <row r="562" spans="28:30" x14ac:dyDescent="0.25">
      <c r="AB562" s="34"/>
      <c r="AC562" s="32"/>
      <c r="AD562" s="32"/>
    </row>
    <row r="563" spans="28:30" x14ac:dyDescent="0.25">
      <c r="AB563" s="34"/>
      <c r="AC563" s="32"/>
      <c r="AD563" s="32"/>
    </row>
    <row r="564" spans="28:30" x14ac:dyDescent="0.25">
      <c r="AB564" s="34"/>
      <c r="AC564" s="32"/>
      <c r="AD564" s="32"/>
    </row>
    <row r="565" spans="28:30" x14ac:dyDescent="0.25">
      <c r="AB565" s="34"/>
      <c r="AC565" s="32"/>
      <c r="AD565" s="32"/>
    </row>
    <row r="566" spans="28:30" x14ac:dyDescent="0.25">
      <c r="AB566" s="34"/>
      <c r="AC566" s="32"/>
      <c r="AD566" s="32"/>
    </row>
    <row r="567" spans="28:30" x14ac:dyDescent="0.25">
      <c r="AB567" s="34"/>
      <c r="AC567" s="32"/>
      <c r="AD567" s="32"/>
    </row>
    <row r="568" spans="28:30" x14ac:dyDescent="0.25">
      <c r="AB568" s="34"/>
      <c r="AC568" s="32"/>
      <c r="AD568" s="32"/>
    </row>
    <row r="569" spans="28:30" x14ac:dyDescent="0.25">
      <c r="AB569" s="34"/>
      <c r="AC569" s="32"/>
      <c r="AD569" s="32"/>
    </row>
    <row r="570" spans="28:30" x14ac:dyDescent="0.25">
      <c r="AB570" s="34"/>
      <c r="AC570" s="32"/>
      <c r="AD570" s="32"/>
    </row>
    <row r="571" spans="28:30" x14ac:dyDescent="0.25">
      <c r="AB571" s="34"/>
      <c r="AC571" s="32"/>
      <c r="AD571" s="32"/>
    </row>
    <row r="572" spans="28:30" x14ac:dyDescent="0.25">
      <c r="AB572" s="34"/>
      <c r="AC572" s="32"/>
      <c r="AD572" s="32"/>
    </row>
    <row r="573" spans="28:30" x14ac:dyDescent="0.25">
      <c r="AB573" s="34"/>
      <c r="AC573" s="32"/>
      <c r="AD573" s="32"/>
    </row>
    <row r="574" spans="28:30" x14ac:dyDescent="0.25">
      <c r="AB574" s="34"/>
      <c r="AC574" s="32"/>
      <c r="AD574" s="32"/>
    </row>
    <row r="575" spans="28:30" x14ac:dyDescent="0.25">
      <c r="AB575" s="34"/>
      <c r="AC575" s="32"/>
      <c r="AD575" s="32"/>
    </row>
    <row r="576" spans="28:30" x14ac:dyDescent="0.25">
      <c r="AB576" s="34"/>
      <c r="AC576" s="32"/>
      <c r="AD576" s="32"/>
    </row>
    <row r="577" spans="28:30" x14ac:dyDescent="0.25">
      <c r="AB577" s="34"/>
      <c r="AC577" s="32"/>
      <c r="AD577" s="32"/>
    </row>
    <row r="578" spans="28:30" x14ac:dyDescent="0.25">
      <c r="AB578" s="34"/>
      <c r="AC578" s="32"/>
      <c r="AD578" s="32"/>
    </row>
    <row r="579" spans="28:30" x14ac:dyDescent="0.25">
      <c r="AB579" s="34"/>
      <c r="AC579" s="32"/>
      <c r="AD579" s="32"/>
    </row>
    <row r="580" spans="28:30" x14ac:dyDescent="0.25">
      <c r="AB580" s="34"/>
      <c r="AC580" s="32"/>
      <c r="AD580" s="32"/>
    </row>
    <row r="581" spans="28:30" x14ac:dyDescent="0.25">
      <c r="AB581" s="34"/>
      <c r="AC581" s="32"/>
      <c r="AD581" s="32"/>
    </row>
    <row r="582" spans="28:30" x14ac:dyDescent="0.25">
      <c r="AB582" s="34"/>
      <c r="AC582" s="32"/>
      <c r="AD582" s="32"/>
    </row>
    <row r="583" spans="28:30" x14ac:dyDescent="0.25">
      <c r="AB583" s="34"/>
      <c r="AC583" s="32"/>
      <c r="AD583" s="32"/>
    </row>
    <row r="584" spans="28:30" x14ac:dyDescent="0.25">
      <c r="AB584" s="34"/>
      <c r="AC584" s="32"/>
      <c r="AD584" s="32"/>
    </row>
    <row r="585" spans="28:30" x14ac:dyDescent="0.25">
      <c r="AB585" s="34"/>
      <c r="AC585" s="32"/>
      <c r="AD585" s="32"/>
    </row>
    <row r="586" spans="28:30" x14ac:dyDescent="0.25">
      <c r="AB586" s="34"/>
      <c r="AC586" s="32"/>
      <c r="AD586" s="32"/>
    </row>
    <row r="587" spans="28:30" x14ac:dyDescent="0.25">
      <c r="AB587" s="34"/>
      <c r="AC587" s="32"/>
      <c r="AD587" s="32"/>
    </row>
    <row r="588" spans="28:30" x14ac:dyDescent="0.25">
      <c r="AB588" s="34"/>
      <c r="AC588" s="32"/>
      <c r="AD588" s="32"/>
    </row>
    <row r="589" spans="28:30" x14ac:dyDescent="0.25">
      <c r="AB589" s="34"/>
      <c r="AC589" s="32"/>
      <c r="AD589" s="32"/>
    </row>
    <row r="590" spans="28:30" x14ac:dyDescent="0.25">
      <c r="AB590" s="34"/>
      <c r="AC590" s="32"/>
      <c r="AD590" s="32"/>
    </row>
    <row r="591" spans="28:30" x14ac:dyDescent="0.25">
      <c r="AB591" s="34"/>
      <c r="AC591" s="32"/>
      <c r="AD591" s="32"/>
    </row>
    <row r="592" spans="28:30" x14ac:dyDescent="0.25">
      <c r="AB592" s="34"/>
      <c r="AC592" s="32"/>
      <c r="AD592" s="32"/>
    </row>
    <row r="593" spans="28:30" x14ac:dyDescent="0.25">
      <c r="AB593" s="34"/>
      <c r="AC593" s="32"/>
      <c r="AD593" s="32"/>
    </row>
    <row r="594" spans="28:30" x14ac:dyDescent="0.25">
      <c r="AB594" s="34"/>
      <c r="AC594" s="32"/>
      <c r="AD594" s="32"/>
    </row>
    <row r="595" spans="28:30" x14ac:dyDescent="0.25">
      <c r="AB595" s="34"/>
      <c r="AC595" s="32"/>
      <c r="AD595" s="32"/>
    </row>
    <row r="596" spans="28:30" x14ac:dyDescent="0.25">
      <c r="AB596" s="34"/>
      <c r="AC596" s="32"/>
      <c r="AD596" s="32"/>
    </row>
    <row r="597" spans="28:30" x14ac:dyDescent="0.25">
      <c r="AB597" s="34"/>
      <c r="AC597" s="32"/>
      <c r="AD597" s="32"/>
    </row>
    <row r="598" spans="28:30" x14ac:dyDescent="0.25">
      <c r="AB598" s="34"/>
      <c r="AC598" s="32"/>
      <c r="AD598" s="32"/>
    </row>
    <row r="599" spans="28:30" x14ac:dyDescent="0.25">
      <c r="AB599" s="34"/>
      <c r="AC599" s="32"/>
      <c r="AD599" s="32"/>
    </row>
    <row r="600" spans="28:30" x14ac:dyDescent="0.25">
      <c r="AB600" s="34"/>
      <c r="AC600" s="32"/>
      <c r="AD600" s="32"/>
    </row>
    <row r="601" spans="28:30" x14ac:dyDescent="0.25">
      <c r="AB601" s="34"/>
      <c r="AC601" s="32"/>
      <c r="AD601" s="32"/>
    </row>
    <row r="602" spans="28:30" x14ac:dyDescent="0.25">
      <c r="AB602" s="34"/>
      <c r="AC602" s="32"/>
      <c r="AD602" s="32"/>
    </row>
    <row r="603" spans="28:30" x14ac:dyDescent="0.25">
      <c r="AB603" s="34"/>
      <c r="AC603" s="32"/>
      <c r="AD603" s="32"/>
    </row>
    <row r="604" spans="28:30" x14ac:dyDescent="0.25">
      <c r="AB604" s="34"/>
      <c r="AC604" s="32"/>
      <c r="AD604" s="32"/>
    </row>
    <row r="605" spans="28:30" x14ac:dyDescent="0.25">
      <c r="AB605" s="34"/>
      <c r="AC605" s="32"/>
      <c r="AD605" s="32"/>
    </row>
    <row r="606" spans="28:30" x14ac:dyDescent="0.25">
      <c r="AB606" s="34"/>
      <c r="AC606" s="32"/>
      <c r="AD606" s="32"/>
    </row>
    <row r="607" spans="28:30" x14ac:dyDescent="0.25">
      <c r="AB607" s="34"/>
      <c r="AC607" s="32"/>
      <c r="AD607" s="32"/>
    </row>
    <row r="608" spans="28:30" x14ac:dyDescent="0.25">
      <c r="AB608" s="34"/>
      <c r="AC608" s="32"/>
      <c r="AD608" s="32"/>
    </row>
    <row r="609" spans="28:30" x14ac:dyDescent="0.25">
      <c r="AB609" s="34"/>
      <c r="AC609" s="32"/>
      <c r="AD609" s="32"/>
    </row>
    <row r="610" spans="28:30" x14ac:dyDescent="0.25">
      <c r="AB610" s="34"/>
      <c r="AC610" s="32"/>
      <c r="AD610" s="32"/>
    </row>
    <row r="611" spans="28:30" x14ac:dyDescent="0.25">
      <c r="AB611" s="34"/>
      <c r="AC611" s="32"/>
      <c r="AD611" s="32"/>
    </row>
    <row r="612" spans="28:30" x14ac:dyDescent="0.25">
      <c r="AB612" s="34"/>
      <c r="AC612" s="32"/>
      <c r="AD612" s="32"/>
    </row>
    <row r="613" spans="28:30" x14ac:dyDescent="0.25">
      <c r="AB613" s="34"/>
      <c r="AC613" s="32"/>
      <c r="AD613" s="32"/>
    </row>
    <row r="614" spans="28:30" x14ac:dyDescent="0.25">
      <c r="AB614" s="34"/>
      <c r="AC614" s="32"/>
      <c r="AD614" s="32"/>
    </row>
    <row r="615" spans="28:30" x14ac:dyDescent="0.25">
      <c r="AB615" s="34"/>
      <c r="AC615" s="32"/>
      <c r="AD615" s="32"/>
    </row>
    <row r="616" spans="28:30" x14ac:dyDescent="0.25">
      <c r="AB616" s="34"/>
      <c r="AC616" s="32"/>
      <c r="AD616" s="32"/>
    </row>
    <row r="617" spans="28:30" x14ac:dyDescent="0.25">
      <c r="AB617" s="34"/>
      <c r="AC617" s="32"/>
      <c r="AD617" s="32"/>
    </row>
    <row r="618" spans="28:30" x14ac:dyDescent="0.25">
      <c r="AB618" s="34"/>
      <c r="AC618" s="32"/>
      <c r="AD618" s="32"/>
    </row>
    <row r="619" spans="28:30" x14ac:dyDescent="0.25">
      <c r="AB619" s="34"/>
      <c r="AC619" s="32"/>
      <c r="AD619" s="32"/>
    </row>
    <row r="620" spans="28:30" x14ac:dyDescent="0.25">
      <c r="AB620" s="34"/>
      <c r="AC620" s="32"/>
      <c r="AD620" s="32"/>
    </row>
    <row r="621" spans="28:30" x14ac:dyDescent="0.25">
      <c r="AB621" s="34"/>
      <c r="AC621" s="32"/>
      <c r="AD621" s="32"/>
    </row>
    <row r="622" spans="28:30" x14ac:dyDescent="0.25">
      <c r="AB622" s="34"/>
      <c r="AC622" s="32"/>
      <c r="AD622" s="32"/>
    </row>
    <row r="623" spans="28:30" x14ac:dyDescent="0.25">
      <c r="AB623" s="34"/>
      <c r="AC623" s="32"/>
      <c r="AD623" s="32"/>
    </row>
    <row r="624" spans="28:30" x14ac:dyDescent="0.25">
      <c r="AB624" s="34"/>
      <c r="AC624" s="32"/>
      <c r="AD624" s="32"/>
    </row>
    <row r="625" spans="28:30" x14ac:dyDescent="0.25">
      <c r="AB625" s="34"/>
      <c r="AC625" s="32"/>
      <c r="AD625" s="32"/>
    </row>
    <row r="626" spans="28:30" x14ac:dyDescent="0.25">
      <c r="AB626" s="34"/>
      <c r="AC626" s="32"/>
      <c r="AD626" s="32"/>
    </row>
    <row r="627" spans="28:30" x14ac:dyDescent="0.25">
      <c r="AB627" s="34"/>
      <c r="AC627" s="32"/>
      <c r="AD627" s="32"/>
    </row>
    <row r="628" spans="28:30" x14ac:dyDescent="0.25">
      <c r="AB628" s="34"/>
      <c r="AC628" s="32"/>
      <c r="AD628" s="32"/>
    </row>
    <row r="629" spans="28:30" x14ac:dyDescent="0.25">
      <c r="AB629" s="34"/>
      <c r="AC629" s="32"/>
      <c r="AD629" s="32"/>
    </row>
    <row r="630" spans="28:30" x14ac:dyDescent="0.25">
      <c r="AB630" s="34"/>
      <c r="AC630" s="32"/>
      <c r="AD630" s="32"/>
    </row>
    <row r="631" spans="28:30" x14ac:dyDescent="0.25">
      <c r="AB631" s="34"/>
      <c r="AC631" s="32"/>
      <c r="AD631" s="32"/>
    </row>
    <row r="632" spans="28:30" x14ac:dyDescent="0.25">
      <c r="AB632" s="34"/>
      <c r="AC632" s="32"/>
      <c r="AD632" s="32"/>
    </row>
    <row r="633" spans="28:30" x14ac:dyDescent="0.25">
      <c r="AB633" s="34"/>
      <c r="AC633" s="32"/>
      <c r="AD633" s="32"/>
    </row>
    <row r="634" spans="28:30" x14ac:dyDescent="0.25">
      <c r="AB634" s="34"/>
      <c r="AC634" s="32"/>
      <c r="AD634" s="32"/>
    </row>
    <row r="635" spans="28:30" x14ac:dyDescent="0.25">
      <c r="AB635" s="34"/>
      <c r="AC635" s="32"/>
      <c r="AD635" s="32"/>
    </row>
    <row r="636" spans="28:30" x14ac:dyDescent="0.25">
      <c r="AB636" s="34"/>
      <c r="AC636" s="32"/>
      <c r="AD636" s="32"/>
    </row>
    <row r="637" spans="28:30" x14ac:dyDescent="0.25">
      <c r="AB637" s="34"/>
      <c r="AC637" s="32"/>
      <c r="AD637" s="32"/>
    </row>
    <row r="638" spans="28:30" x14ac:dyDescent="0.25">
      <c r="AB638" s="34"/>
      <c r="AC638" s="32"/>
      <c r="AD638" s="32"/>
    </row>
    <row r="639" spans="28:30" x14ac:dyDescent="0.25">
      <c r="AB639" s="34"/>
      <c r="AC639" s="32"/>
      <c r="AD639" s="32"/>
    </row>
    <row r="640" spans="28:30" x14ac:dyDescent="0.25">
      <c r="AB640" s="34"/>
      <c r="AC640" s="32"/>
      <c r="AD640" s="32"/>
    </row>
    <row r="641" spans="28:30" x14ac:dyDescent="0.25">
      <c r="AB641" s="34"/>
      <c r="AC641" s="32"/>
      <c r="AD641" s="32"/>
    </row>
    <row r="642" spans="28:30" x14ac:dyDescent="0.25">
      <c r="AB642" s="34"/>
      <c r="AC642" s="32"/>
      <c r="AD642" s="32"/>
    </row>
    <row r="643" spans="28:30" x14ac:dyDescent="0.25">
      <c r="AB643" s="34"/>
      <c r="AC643" s="32"/>
      <c r="AD643" s="32"/>
    </row>
    <row r="644" spans="28:30" x14ac:dyDescent="0.25">
      <c r="AB644" s="34"/>
      <c r="AC644" s="32"/>
      <c r="AD644" s="32"/>
    </row>
    <row r="645" spans="28:30" x14ac:dyDescent="0.25">
      <c r="AB645" s="34"/>
      <c r="AC645" s="32"/>
      <c r="AD645" s="32"/>
    </row>
    <row r="646" spans="28:30" x14ac:dyDescent="0.25">
      <c r="AB646" s="34"/>
      <c r="AC646" s="32"/>
      <c r="AD646" s="32"/>
    </row>
    <row r="647" spans="28:30" x14ac:dyDescent="0.25">
      <c r="AB647" s="34"/>
      <c r="AC647" s="32"/>
      <c r="AD647" s="32"/>
    </row>
    <row r="648" spans="28:30" x14ac:dyDescent="0.25">
      <c r="AB648" s="34"/>
      <c r="AC648" s="32"/>
      <c r="AD648" s="32"/>
    </row>
    <row r="649" spans="28:30" x14ac:dyDescent="0.25">
      <c r="AB649" s="34"/>
      <c r="AC649" s="32"/>
      <c r="AD649" s="32"/>
    </row>
    <row r="650" spans="28:30" x14ac:dyDescent="0.25">
      <c r="AB650" s="34"/>
      <c r="AC650" s="32"/>
      <c r="AD650" s="32"/>
    </row>
    <row r="651" spans="28:30" x14ac:dyDescent="0.25">
      <c r="AB651" s="34"/>
      <c r="AC651" s="32"/>
      <c r="AD651" s="32"/>
    </row>
    <row r="652" spans="28:30" x14ac:dyDescent="0.25">
      <c r="AB652" s="34"/>
      <c r="AC652" s="32"/>
      <c r="AD652" s="32"/>
    </row>
    <row r="653" spans="28:30" x14ac:dyDescent="0.25">
      <c r="AB653" s="34"/>
      <c r="AC653" s="32"/>
      <c r="AD653" s="32"/>
    </row>
    <row r="654" spans="28:30" x14ac:dyDescent="0.25">
      <c r="AB654" s="34"/>
      <c r="AC654" s="32"/>
      <c r="AD654" s="32"/>
    </row>
    <row r="655" spans="28:30" x14ac:dyDescent="0.25">
      <c r="AB655" s="34"/>
      <c r="AC655" s="32"/>
      <c r="AD655" s="32"/>
    </row>
    <row r="656" spans="28:30" x14ac:dyDescent="0.25">
      <c r="AB656" s="34"/>
      <c r="AC656" s="32"/>
      <c r="AD656" s="32"/>
    </row>
    <row r="657" spans="28:30" x14ac:dyDescent="0.25">
      <c r="AB657" s="34"/>
      <c r="AC657" s="32"/>
      <c r="AD657" s="32"/>
    </row>
    <row r="658" spans="28:30" x14ac:dyDescent="0.25">
      <c r="AB658" s="34"/>
      <c r="AC658" s="32"/>
      <c r="AD658" s="32"/>
    </row>
    <row r="659" spans="28:30" x14ac:dyDescent="0.25">
      <c r="AB659" s="34"/>
      <c r="AC659" s="32"/>
      <c r="AD659" s="32"/>
    </row>
    <row r="660" spans="28:30" x14ac:dyDescent="0.25">
      <c r="AB660" s="34"/>
      <c r="AC660" s="32"/>
      <c r="AD660" s="32"/>
    </row>
    <row r="661" spans="28:30" x14ac:dyDescent="0.25">
      <c r="AB661" s="34"/>
      <c r="AC661" s="32"/>
      <c r="AD661" s="32"/>
    </row>
    <row r="662" spans="28:30" x14ac:dyDescent="0.25">
      <c r="AB662" s="34"/>
      <c r="AC662" s="32"/>
      <c r="AD662" s="32"/>
    </row>
    <row r="663" spans="28:30" x14ac:dyDescent="0.25">
      <c r="AB663" s="34"/>
      <c r="AC663" s="32"/>
      <c r="AD663" s="32"/>
    </row>
    <row r="664" spans="28:30" x14ac:dyDescent="0.25">
      <c r="AB664" s="34"/>
      <c r="AC664" s="32"/>
      <c r="AD664" s="32"/>
    </row>
    <row r="665" spans="28:30" x14ac:dyDescent="0.25">
      <c r="AB665" s="34"/>
      <c r="AC665" s="32"/>
      <c r="AD665" s="32"/>
    </row>
    <row r="666" spans="28:30" x14ac:dyDescent="0.25">
      <c r="AB666" s="34"/>
      <c r="AC666" s="32"/>
      <c r="AD666" s="32"/>
    </row>
    <row r="667" spans="28:30" x14ac:dyDescent="0.25">
      <c r="AB667" s="34"/>
      <c r="AC667" s="32"/>
      <c r="AD667" s="32"/>
    </row>
    <row r="668" spans="28:30" x14ac:dyDescent="0.25">
      <c r="AB668" s="34"/>
      <c r="AC668" s="32"/>
      <c r="AD668" s="32"/>
    </row>
    <row r="669" spans="28:30" x14ac:dyDescent="0.25">
      <c r="AB669" s="34"/>
      <c r="AC669" s="32"/>
      <c r="AD669" s="32"/>
    </row>
    <row r="670" spans="28:30" x14ac:dyDescent="0.25">
      <c r="AB670" s="34"/>
      <c r="AC670" s="32"/>
      <c r="AD670" s="32"/>
    </row>
    <row r="671" spans="28:30" x14ac:dyDescent="0.25">
      <c r="AB671" s="34"/>
      <c r="AC671" s="32"/>
      <c r="AD671" s="32"/>
    </row>
    <row r="672" spans="28:30" x14ac:dyDescent="0.25">
      <c r="AB672" s="34"/>
      <c r="AC672" s="32"/>
      <c r="AD672" s="32"/>
    </row>
    <row r="673" spans="28:30" x14ac:dyDescent="0.25">
      <c r="AB673" s="34"/>
      <c r="AC673" s="32"/>
      <c r="AD673" s="32"/>
    </row>
    <row r="674" spans="28:30" x14ac:dyDescent="0.25">
      <c r="AB674" s="34"/>
      <c r="AC674" s="32"/>
      <c r="AD674" s="32"/>
    </row>
    <row r="675" spans="28:30" x14ac:dyDescent="0.25">
      <c r="AB675" s="34"/>
      <c r="AC675" s="32"/>
      <c r="AD675" s="32"/>
    </row>
    <row r="676" spans="28:30" x14ac:dyDescent="0.25">
      <c r="AB676" s="34"/>
      <c r="AC676" s="32"/>
      <c r="AD676" s="32"/>
    </row>
    <row r="677" spans="28:30" x14ac:dyDescent="0.25">
      <c r="AB677" s="34"/>
      <c r="AC677" s="32"/>
      <c r="AD677" s="32"/>
    </row>
    <row r="678" spans="28:30" x14ac:dyDescent="0.25">
      <c r="AB678" s="34"/>
      <c r="AC678" s="32"/>
      <c r="AD678" s="32"/>
    </row>
    <row r="679" spans="28:30" x14ac:dyDescent="0.25">
      <c r="AB679" s="34"/>
      <c r="AC679" s="32"/>
      <c r="AD679" s="32"/>
    </row>
    <row r="680" spans="28:30" x14ac:dyDescent="0.25">
      <c r="AB680" s="34"/>
      <c r="AC680" s="32"/>
      <c r="AD680" s="32"/>
    </row>
    <row r="681" spans="28:30" x14ac:dyDescent="0.25">
      <c r="AB681" s="34"/>
      <c r="AC681" s="32"/>
      <c r="AD681" s="32"/>
    </row>
    <row r="682" spans="28:30" x14ac:dyDescent="0.25">
      <c r="AB682" s="34"/>
      <c r="AC682" s="32"/>
      <c r="AD682" s="32"/>
    </row>
    <row r="683" spans="28:30" x14ac:dyDescent="0.25">
      <c r="AB683" s="34"/>
      <c r="AC683" s="32"/>
      <c r="AD683" s="32"/>
    </row>
    <row r="684" spans="28:30" x14ac:dyDescent="0.25">
      <c r="AB684" s="34"/>
      <c r="AC684" s="32"/>
      <c r="AD684" s="32"/>
    </row>
    <row r="685" spans="28:30" x14ac:dyDescent="0.25">
      <c r="AB685" s="34"/>
      <c r="AC685" s="32"/>
      <c r="AD685" s="32"/>
    </row>
    <row r="686" spans="28:30" x14ac:dyDescent="0.25">
      <c r="AB686" s="34"/>
      <c r="AC686" s="32"/>
      <c r="AD686" s="32"/>
    </row>
    <row r="687" spans="28:30" x14ac:dyDescent="0.25">
      <c r="AB687" s="34"/>
      <c r="AC687" s="32"/>
      <c r="AD687" s="32"/>
    </row>
    <row r="688" spans="28:30" x14ac:dyDescent="0.25">
      <c r="AB688" s="34"/>
      <c r="AC688" s="32"/>
      <c r="AD688" s="32"/>
    </row>
    <row r="689" spans="28:30" x14ac:dyDescent="0.25">
      <c r="AB689" s="34"/>
      <c r="AC689" s="32"/>
      <c r="AD689" s="32"/>
    </row>
    <row r="690" spans="28:30" x14ac:dyDescent="0.25">
      <c r="AB690" s="34"/>
      <c r="AC690" s="32"/>
      <c r="AD690" s="32"/>
    </row>
    <row r="691" spans="28:30" x14ac:dyDescent="0.25">
      <c r="AB691" s="34"/>
      <c r="AC691" s="32"/>
      <c r="AD691" s="32"/>
    </row>
    <row r="692" spans="28:30" x14ac:dyDescent="0.25">
      <c r="AB692" s="34"/>
      <c r="AC692" s="32"/>
      <c r="AD692" s="32"/>
    </row>
    <row r="693" spans="28:30" x14ac:dyDescent="0.25">
      <c r="AB693" s="34"/>
      <c r="AC693" s="32"/>
      <c r="AD693" s="32"/>
    </row>
    <row r="694" spans="28:30" x14ac:dyDescent="0.25">
      <c r="AB694" s="34"/>
      <c r="AC694" s="32"/>
      <c r="AD694" s="32"/>
    </row>
    <row r="695" spans="28:30" x14ac:dyDescent="0.25">
      <c r="AB695" s="34"/>
      <c r="AC695" s="32"/>
      <c r="AD695" s="32"/>
    </row>
    <row r="696" spans="28:30" x14ac:dyDescent="0.25">
      <c r="AB696" s="34"/>
      <c r="AC696" s="32"/>
      <c r="AD696" s="32"/>
    </row>
    <row r="697" spans="28:30" x14ac:dyDescent="0.25">
      <c r="AB697" s="34"/>
      <c r="AC697" s="32"/>
      <c r="AD697" s="32"/>
    </row>
    <row r="698" spans="28:30" x14ac:dyDescent="0.25">
      <c r="AB698" s="34"/>
      <c r="AC698" s="32"/>
      <c r="AD698" s="32"/>
    </row>
    <row r="699" spans="28:30" x14ac:dyDescent="0.25">
      <c r="AB699" s="34"/>
      <c r="AC699" s="32"/>
      <c r="AD699" s="32"/>
    </row>
    <row r="700" spans="28:30" x14ac:dyDescent="0.25">
      <c r="AB700" s="34"/>
      <c r="AC700" s="32"/>
      <c r="AD700" s="32"/>
    </row>
    <row r="701" spans="28:30" x14ac:dyDescent="0.25">
      <c r="AB701" s="34"/>
      <c r="AC701" s="32"/>
      <c r="AD701" s="32"/>
    </row>
    <row r="702" spans="28:30" x14ac:dyDescent="0.25">
      <c r="AB702" s="34"/>
      <c r="AC702" s="32"/>
      <c r="AD702" s="32"/>
    </row>
    <row r="703" spans="28:30" x14ac:dyDescent="0.25">
      <c r="AB703" s="34"/>
      <c r="AC703" s="32"/>
      <c r="AD703" s="32"/>
    </row>
    <row r="704" spans="28:30" x14ac:dyDescent="0.25">
      <c r="AB704" s="34"/>
      <c r="AC704" s="32"/>
      <c r="AD704" s="32"/>
    </row>
    <row r="705" spans="28:30" x14ac:dyDescent="0.25">
      <c r="AB705" s="34"/>
      <c r="AC705" s="32"/>
      <c r="AD705" s="32"/>
    </row>
    <row r="706" spans="28:30" x14ac:dyDescent="0.25">
      <c r="AB706" s="34"/>
      <c r="AC706" s="32"/>
      <c r="AD706" s="32"/>
    </row>
    <row r="707" spans="28:30" x14ac:dyDescent="0.25">
      <c r="AB707" s="34"/>
      <c r="AC707" s="32"/>
      <c r="AD707" s="32"/>
    </row>
    <row r="708" spans="28:30" x14ac:dyDescent="0.25">
      <c r="AB708" s="34"/>
      <c r="AC708" s="32"/>
      <c r="AD708" s="32"/>
    </row>
    <row r="709" spans="28:30" x14ac:dyDescent="0.25">
      <c r="AB709" s="34"/>
      <c r="AC709" s="32"/>
      <c r="AD709" s="32"/>
    </row>
    <row r="710" spans="28:30" x14ac:dyDescent="0.25">
      <c r="AB710" s="34"/>
      <c r="AC710" s="32"/>
      <c r="AD710" s="32"/>
    </row>
    <row r="711" spans="28:30" x14ac:dyDescent="0.25">
      <c r="AB711" s="34"/>
      <c r="AC711" s="32"/>
      <c r="AD711" s="32"/>
    </row>
    <row r="712" spans="28:30" x14ac:dyDescent="0.25">
      <c r="AB712" s="34"/>
      <c r="AC712" s="32"/>
      <c r="AD712" s="32"/>
    </row>
    <row r="713" spans="28:30" x14ac:dyDescent="0.25">
      <c r="AB713" s="34"/>
      <c r="AC713" s="32"/>
      <c r="AD713" s="32"/>
    </row>
    <row r="714" spans="28:30" x14ac:dyDescent="0.25">
      <c r="AB714" s="34"/>
      <c r="AC714" s="32"/>
      <c r="AD714" s="32"/>
    </row>
    <row r="715" spans="28:30" x14ac:dyDescent="0.25">
      <c r="AB715" s="34"/>
      <c r="AC715" s="32"/>
      <c r="AD715" s="32"/>
    </row>
    <row r="716" spans="28:30" x14ac:dyDescent="0.25">
      <c r="AB716" s="34"/>
      <c r="AC716" s="32"/>
      <c r="AD716" s="32"/>
    </row>
    <row r="717" spans="28:30" x14ac:dyDescent="0.25">
      <c r="AB717" s="34"/>
      <c r="AC717" s="32"/>
      <c r="AD717" s="32"/>
    </row>
    <row r="718" spans="28:30" x14ac:dyDescent="0.25">
      <c r="AB718" s="34"/>
      <c r="AC718" s="32"/>
      <c r="AD718" s="32"/>
    </row>
    <row r="719" spans="28:30" x14ac:dyDescent="0.25">
      <c r="AB719" s="34"/>
      <c r="AC719" s="32"/>
      <c r="AD719" s="32"/>
    </row>
    <row r="720" spans="28:30" x14ac:dyDescent="0.25">
      <c r="AB720" s="34"/>
      <c r="AC720" s="32"/>
      <c r="AD720" s="32"/>
    </row>
    <row r="721" spans="28:30" x14ac:dyDescent="0.25">
      <c r="AB721" s="34"/>
      <c r="AC721" s="32"/>
      <c r="AD721" s="32"/>
    </row>
    <row r="722" spans="28:30" x14ac:dyDescent="0.25">
      <c r="AB722" s="34"/>
      <c r="AC722" s="32"/>
      <c r="AD722" s="32"/>
    </row>
    <row r="723" spans="28:30" x14ac:dyDescent="0.25">
      <c r="AB723" s="34"/>
      <c r="AC723" s="32"/>
      <c r="AD723" s="32"/>
    </row>
    <row r="724" spans="28:30" x14ac:dyDescent="0.25">
      <c r="AB724" s="34"/>
      <c r="AC724" s="32"/>
      <c r="AD724" s="32"/>
    </row>
    <row r="725" spans="28:30" x14ac:dyDescent="0.25">
      <c r="AB725" s="34"/>
      <c r="AC725" s="32"/>
      <c r="AD725" s="32"/>
    </row>
    <row r="726" spans="28:30" x14ac:dyDescent="0.25">
      <c r="AB726" s="34"/>
      <c r="AC726" s="32"/>
      <c r="AD726" s="32"/>
    </row>
    <row r="727" spans="28:30" x14ac:dyDescent="0.25">
      <c r="AB727" s="34"/>
      <c r="AC727" s="32"/>
      <c r="AD727" s="32"/>
    </row>
    <row r="728" spans="28:30" x14ac:dyDescent="0.25">
      <c r="AB728" s="34"/>
      <c r="AC728" s="32"/>
      <c r="AD728" s="32"/>
    </row>
    <row r="729" spans="28:30" x14ac:dyDescent="0.25">
      <c r="AB729" s="34"/>
      <c r="AC729" s="32"/>
      <c r="AD729" s="32"/>
    </row>
    <row r="730" spans="28:30" x14ac:dyDescent="0.25">
      <c r="AB730" s="34"/>
      <c r="AC730" s="32"/>
      <c r="AD730" s="32"/>
    </row>
    <row r="731" spans="28:30" x14ac:dyDescent="0.25">
      <c r="AB731" s="34"/>
      <c r="AC731" s="32"/>
      <c r="AD731" s="32"/>
    </row>
    <row r="732" spans="28:30" x14ac:dyDescent="0.25">
      <c r="AB732" s="34"/>
      <c r="AC732" s="32"/>
      <c r="AD732" s="32"/>
    </row>
    <row r="733" spans="28:30" x14ac:dyDescent="0.25">
      <c r="AB733" s="34"/>
      <c r="AC733" s="32"/>
      <c r="AD733" s="32"/>
    </row>
    <row r="734" spans="28:30" x14ac:dyDescent="0.25">
      <c r="AB734" s="34"/>
      <c r="AC734" s="32"/>
      <c r="AD734" s="32"/>
    </row>
    <row r="735" spans="28:30" x14ac:dyDescent="0.25">
      <c r="AB735" s="34"/>
      <c r="AC735" s="32"/>
      <c r="AD735" s="32"/>
    </row>
    <row r="736" spans="28:30" x14ac:dyDescent="0.25">
      <c r="AB736" s="34"/>
      <c r="AC736" s="32"/>
      <c r="AD736" s="32"/>
    </row>
    <row r="737" spans="28:30" x14ac:dyDescent="0.25">
      <c r="AB737" s="34"/>
      <c r="AC737" s="32"/>
      <c r="AD737" s="32"/>
    </row>
    <row r="738" spans="28:30" x14ac:dyDescent="0.25">
      <c r="AB738" s="34"/>
      <c r="AC738" s="32"/>
      <c r="AD738" s="32"/>
    </row>
    <row r="739" spans="28:30" x14ac:dyDescent="0.25">
      <c r="AB739" s="34"/>
      <c r="AC739" s="32"/>
      <c r="AD739" s="32"/>
    </row>
    <row r="740" spans="28:30" x14ac:dyDescent="0.25">
      <c r="AB740" s="34"/>
      <c r="AC740" s="32"/>
      <c r="AD740" s="32"/>
    </row>
    <row r="741" spans="28:30" x14ac:dyDescent="0.25">
      <c r="AB741" s="34"/>
      <c r="AC741" s="32"/>
      <c r="AD741" s="32"/>
    </row>
    <row r="742" spans="28:30" x14ac:dyDescent="0.25">
      <c r="AB742" s="34"/>
      <c r="AC742" s="32"/>
      <c r="AD742" s="32"/>
    </row>
    <row r="743" spans="28:30" x14ac:dyDescent="0.25">
      <c r="AB743" s="34"/>
      <c r="AC743" s="32"/>
      <c r="AD743" s="32"/>
    </row>
    <row r="744" spans="28:30" x14ac:dyDescent="0.25">
      <c r="AB744" s="34"/>
      <c r="AC744" s="32"/>
      <c r="AD744" s="32"/>
    </row>
    <row r="745" spans="28:30" x14ac:dyDescent="0.25">
      <c r="AB745" s="34"/>
      <c r="AC745" s="32"/>
      <c r="AD745" s="32"/>
    </row>
    <row r="746" spans="28:30" x14ac:dyDescent="0.25">
      <c r="AB746" s="34"/>
      <c r="AC746" s="32"/>
      <c r="AD746" s="32"/>
    </row>
    <row r="747" spans="28:30" x14ac:dyDescent="0.25">
      <c r="AB747" s="34"/>
      <c r="AC747" s="32"/>
      <c r="AD747" s="32"/>
    </row>
    <row r="748" spans="28:30" x14ac:dyDescent="0.25">
      <c r="AB748" s="34"/>
      <c r="AC748" s="32"/>
      <c r="AD748" s="32"/>
    </row>
    <row r="749" spans="28:30" x14ac:dyDescent="0.25">
      <c r="AB749" s="34"/>
      <c r="AC749" s="32"/>
      <c r="AD749" s="32"/>
    </row>
    <row r="750" spans="28:30" x14ac:dyDescent="0.25">
      <c r="AB750" s="34"/>
      <c r="AC750" s="32"/>
      <c r="AD750" s="32"/>
    </row>
    <row r="751" spans="28:30" x14ac:dyDescent="0.25">
      <c r="AB751" s="34"/>
      <c r="AC751" s="32"/>
      <c r="AD751" s="32"/>
    </row>
    <row r="752" spans="28:30" x14ac:dyDescent="0.25">
      <c r="AB752" s="34"/>
      <c r="AC752" s="32"/>
      <c r="AD752" s="32"/>
    </row>
    <row r="753" spans="28:30" x14ac:dyDescent="0.25">
      <c r="AB753" s="34"/>
      <c r="AC753" s="32"/>
      <c r="AD753" s="32"/>
    </row>
    <row r="754" spans="28:30" x14ac:dyDescent="0.25">
      <c r="AB754" s="34"/>
      <c r="AC754" s="32"/>
      <c r="AD754" s="32"/>
    </row>
    <row r="755" spans="28:30" x14ac:dyDescent="0.25">
      <c r="AB755" s="34"/>
      <c r="AC755" s="32"/>
      <c r="AD755" s="32"/>
    </row>
    <row r="756" spans="28:30" x14ac:dyDescent="0.25">
      <c r="AB756" s="34"/>
      <c r="AC756" s="32"/>
      <c r="AD756" s="32"/>
    </row>
    <row r="757" spans="28:30" x14ac:dyDescent="0.25">
      <c r="AB757" s="34"/>
      <c r="AC757" s="32"/>
      <c r="AD757" s="32"/>
    </row>
    <row r="758" spans="28:30" x14ac:dyDescent="0.25">
      <c r="AB758" s="34"/>
      <c r="AC758" s="32"/>
      <c r="AD758" s="32"/>
    </row>
    <row r="759" spans="28:30" x14ac:dyDescent="0.25">
      <c r="AB759" s="34"/>
      <c r="AC759" s="32"/>
      <c r="AD759" s="32"/>
    </row>
    <row r="760" spans="28:30" x14ac:dyDescent="0.25">
      <c r="AB760" s="34"/>
      <c r="AC760" s="32"/>
      <c r="AD760" s="32"/>
    </row>
    <row r="761" spans="28:30" x14ac:dyDescent="0.25">
      <c r="AB761" s="34"/>
      <c r="AC761" s="32"/>
      <c r="AD761" s="32"/>
    </row>
    <row r="762" spans="28:30" x14ac:dyDescent="0.25">
      <c r="AB762" s="34"/>
      <c r="AC762" s="32"/>
      <c r="AD762" s="32"/>
    </row>
    <row r="763" spans="28:30" x14ac:dyDescent="0.25">
      <c r="AB763" s="34"/>
      <c r="AC763" s="32"/>
      <c r="AD763" s="32"/>
    </row>
    <row r="764" spans="28:30" x14ac:dyDescent="0.25">
      <c r="AB764" s="34"/>
      <c r="AC764" s="32"/>
      <c r="AD764" s="32"/>
    </row>
    <row r="765" spans="28:30" x14ac:dyDescent="0.25">
      <c r="AB765" s="34"/>
      <c r="AC765" s="32"/>
      <c r="AD765" s="32"/>
    </row>
    <row r="766" spans="28:30" x14ac:dyDescent="0.25">
      <c r="AB766" s="34"/>
      <c r="AC766" s="32"/>
      <c r="AD766" s="32"/>
    </row>
    <row r="767" spans="28:30" x14ac:dyDescent="0.25">
      <c r="AB767" s="34"/>
      <c r="AC767" s="32"/>
      <c r="AD767" s="32"/>
    </row>
    <row r="768" spans="28:30" x14ac:dyDescent="0.25">
      <c r="AB768" s="34"/>
      <c r="AC768" s="32"/>
      <c r="AD768" s="32"/>
    </row>
    <row r="769" spans="28:30" x14ac:dyDescent="0.25">
      <c r="AB769" s="34"/>
      <c r="AC769" s="32"/>
      <c r="AD769" s="32"/>
    </row>
    <row r="770" spans="28:30" x14ac:dyDescent="0.25">
      <c r="AB770" s="34"/>
      <c r="AC770" s="32"/>
      <c r="AD770" s="32"/>
    </row>
    <row r="771" spans="28:30" x14ac:dyDescent="0.25">
      <c r="AB771" s="34"/>
      <c r="AC771" s="32"/>
      <c r="AD771" s="32"/>
    </row>
    <row r="772" spans="28:30" x14ac:dyDescent="0.25">
      <c r="AB772" s="34"/>
      <c r="AC772" s="32"/>
      <c r="AD772" s="32"/>
    </row>
    <row r="773" spans="28:30" x14ac:dyDescent="0.25">
      <c r="AB773" s="34"/>
      <c r="AC773" s="32"/>
      <c r="AD773" s="32"/>
    </row>
    <row r="774" spans="28:30" x14ac:dyDescent="0.25">
      <c r="AB774" s="34"/>
      <c r="AC774" s="32"/>
      <c r="AD774" s="32"/>
    </row>
    <row r="775" spans="28:30" x14ac:dyDescent="0.25">
      <c r="AB775" s="34"/>
      <c r="AC775" s="32"/>
      <c r="AD775" s="32"/>
    </row>
    <row r="776" spans="28:30" x14ac:dyDescent="0.25">
      <c r="AB776" s="34"/>
      <c r="AC776" s="32"/>
      <c r="AD776" s="32"/>
    </row>
    <row r="777" spans="28:30" x14ac:dyDescent="0.25">
      <c r="AB777" s="34"/>
      <c r="AC777" s="32"/>
      <c r="AD777" s="32"/>
    </row>
    <row r="778" spans="28:30" x14ac:dyDescent="0.25">
      <c r="AB778" s="34"/>
      <c r="AC778" s="32"/>
      <c r="AD778" s="32"/>
    </row>
    <row r="779" spans="28:30" x14ac:dyDescent="0.25">
      <c r="AB779" s="34"/>
      <c r="AC779" s="32"/>
      <c r="AD779" s="32"/>
    </row>
    <row r="780" spans="28:30" x14ac:dyDescent="0.25">
      <c r="AB780" s="34"/>
      <c r="AC780" s="32"/>
      <c r="AD780" s="32"/>
    </row>
    <row r="781" spans="28:30" x14ac:dyDescent="0.25">
      <c r="AB781" s="34"/>
      <c r="AC781" s="32"/>
      <c r="AD781" s="32"/>
    </row>
    <row r="782" spans="28:30" x14ac:dyDescent="0.25">
      <c r="AB782" s="34"/>
      <c r="AC782" s="32"/>
      <c r="AD782" s="32"/>
    </row>
    <row r="783" spans="28:30" x14ac:dyDescent="0.25">
      <c r="AB783" s="34"/>
      <c r="AC783" s="32"/>
      <c r="AD783" s="32"/>
    </row>
    <row r="784" spans="28:30" x14ac:dyDescent="0.25">
      <c r="AB784" s="34"/>
      <c r="AC784" s="32"/>
      <c r="AD784" s="32"/>
    </row>
    <row r="785" spans="28:30" x14ac:dyDescent="0.25">
      <c r="AB785" s="34"/>
      <c r="AC785" s="32"/>
      <c r="AD785" s="32"/>
    </row>
    <row r="786" spans="28:30" x14ac:dyDescent="0.25">
      <c r="AB786" s="34"/>
      <c r="AC786" s="32"/>
      <c r="AD786" s="32"/>
    </row>
    <row r="787" spans="28:30" x14ac:dyDescent="0.25">
      <c r="AB787" s="34"/>
      <c r="AC787" s="32"/>
      <c r="AD787" s="32"/>
    </row>
    <row r="788" spans="28:30" x14ac:dyDescent="0.25">
      <c r="AB788" s="34"/>
      <c r="AC788" s="32"/>
      <c r="AD788" s="32"/>
    </row>
    <row r="789" spans="28:30" x14ac:dyDescent="0.25">
      <c r="AB789" s="34"/>
      <c r="AC789" s="32"/>
      <c r="AD789" s="32"/>
    </row>
    <row r="790" spans="28:30" x14ac:dyDescent="0.25">
      <c r="AB790" s="34"/>
      <c r="AC790" s="32"/>
      <c r="AD790" s="32"/>
    </row>
    <row r="791" spans="28:30" x14ac:dyDescent="0.25">
      <c r="AB791" s="34"/>
      <c r="AC791" s="32"/>
      <c r="AD791" s="32"/>
    </row>
    <row r="792" spans="28:30" x14ac:dyDescent="0.25">
      <c r="AB792" s="34"/>
      <c r="AC792" s="32"/>
      <c r="AD792" s="32"/>
    </row>
    <row r="793" spans="28:30" x14ac:dyDescent="0.25">
      <c r="AB793" s="34"/>
      <c r="AC793" s="32"/>
      <c r="AD793" s="32"/>
    </row>
    <row r="794" spans="28:30" x14ac:dyDescent="0.25">
      <c r="AB794" s="34"/>
      <c r="AC794" s="32"/>
      <c r="AD794" s="32"/>
    </row>
    <row r="795" spans="28:30" x14ac:dyDescent="0.25">
      <c r="AB795" s="34"/>
      <c r="AC795" s="32"/>
      <c r="AD795" s="32"/>
    </row>
    <row r="796" spans="28:30" x14ac:dyDescent="0.25">
      <c r="AB796" s="34"/>
      <c r="AC796" s="32"/>
      <c r="AD796" s="32"/>
    </row>
    <row r="797" spans="28:30" x14ac:dyDescent="0.25">
      <c r="AB797" s="34"/>
      <c r="AC797" s="32"/>
      <c r="AD797" s="32"/>
    </row>
    <row r="798" spans="28:30" x14ac:dyDescent="0.25">
      <c r="AB798" s="34"/>
      <c r="AC798" s="32"/>
      <c r="AD798" s="32"/>
    </row>
    <row r="799" spans="28:30" x14ac:dyDescent="0.25">
      <c r="AB799" s="34"/>
      <c r="AC799" s="32"/>
      <c r="AD799" s="32"/>
    </row>
    <row r="800" spans="28:30" x14ac:dyDescent="0.25">
      <c r="AB800" s="34"/>
      <c r="AC800" s="32"/>
      <c r="AD800" s="32"/>
    </row>
    <row r="801" spans="28:30" x14ac:dyDescent="0.25">
      <c r="AB801" s="34"/>
      <c r="AC801" s="32"/>
      <c r="AD801" s="32"/>
    </row>
    <row r="802" spans="28:30" x14ac:dyDescent="0.25">
      <c r="AB802" s="34"/>
      <c r="AC802" s="32"/>
      <c r="AD802" s="32"/>
    </row>
    <row r="803" spans="28:30" x14ac:dyDescent="0.25">
      <c r="AB803" s="34"/>
      <c r="AC803" s="32"/>
      <c r="AD803" s="32"/>
    </row>
    <row r="804" spans="28:30" x14ac:dyDescent="0.25">
      <c r="AB804" s="34"/>
      <c r="AC804" s="32"/>
      <c r="AD804" s="32"/>
    </row>
    <row r="805" spans="28:30" x14ac:dyDescent="0.25">
      <c r="AB805" s="34"/>
      <c r="AC805" s="32"/>
      <c r="AD805" s="32"/>
    </row>
    <row r="806" spans="28:30" x14ac:dyDescent="0.25">
      <c r="AB806" s="34"/>
      <c r="AC806" s="32"/>
      <c r="AD806" s="32"/>
    </row>
    <row r="807" spans="28:30" x14ac:dyDescent="0.25">
      <c r="AB807" s="34"/>
      <c r="AC807" s="32"/>
      <c r="AD807" s="32"/>
    </row>
    <row r="808" spans="28:30" x14ac:dyDescent="0.25">
      <c r="AB808" s="34"/>
      <c r="AC808" s="32"/>
      <c r="AD808" s="32"/>
    </row>
    <row r="809" spans="28:30" x14ac:dyDescent="0.25">
      <c r="AB809" s="34"/>
      <c r="AC809" s="32"/>
      <c r="AD809" s="32"/>
    </row>
    <row r="810" spans="28:30" x14ac:dyDescent="0.25">
      <c r="AB810" s="34"/>
      <c r="AC810" s="32"/>
      <c r="AD810" s="32"/>
    </row>
    <row r="811" spans="28:30" x14ac:dyDescent="0.25">
      <c r="AB811" s="34"/>
      <c r="AC811" s="32"/>
      <c r="AD811" s="32"/>
    </row>
    <row r="812" spans="28:30" x14ac:dyDescent="0.25">
      <c r="AB812" s="34"/>
      <c r="AC812" s="32"/>
      <c r="AD812" s="32"/>
    </row>
    <row r="813" spans="28:30" x14ac:dyDescent="0.25">
      <c r="AB813" s="34"/>
      <c r="AC813" s="32"/>
      <c r="AD813" s="32"/>
    </row>
    <row r="814" spans="28:30" x14ac:dyDescent="0.25">
      <c r="AB814" s="34"/>
      <c r="AC814" s="32"/>
      <c r="AD814" s="32"/>
    </row>
    <row r="815" spans="28:30" x14ac:dyDescent="0.25">
      <c r="AB815" s="34"/>
      <c r="AC815" s="32"/>
      <c r="AD815" s="32"/>
    </row>
    <row r="816" spans="28:30" x14ac:dyDescent="0.25">
      <c r="AB816" s="34"/>
      <c r="AC816" s="32"/>
      <c r="AD816" s="32"/>
    </row>
    <row r="817" spans="28:30" x14ac:dyDescent="0.25">
      <c r="AB817" s="34"/>
      <c r="AC817" s="32"/>
      <c r="AD817" s="32"/>
    </row>
    <row r="818" spans="28:30" x14ac:dyDescent="0.25">
      <c r="AB818" s="34"/>
      <c r="AC818" s="32"/>
      <c r="AD818" s="32"/>
    </row>
    <row r="819" spans="28:30" x14ac:dyDescent="0.25">
      <c r="AB819" s="34"/>
      <c r="AC819" s="32"/>
      <c r="AD819" s="32"/>
    </row>
    <row r="820" spans="28:30" x14ac:dyDescent="0.25">
      <c r="AB820" s="34"/>
      <c r="AC820" s="32"/>
      <c r="AD820" s="32"/>
    </row>
    <row r="821" spans="28:30" x14ac:dyDescent="0.25">
      <c r="AB821" s="34"/>
      <c r="AC821" s="32"/>
      <c r="AD821" s="32"/>
    </row>
    <row r="822" spans="28:30" x14ac:dyDescent="0.25">
      <c r="AB822" s="34"/>
      <c r="AC822" s="32"/>
      <c r="AD822" s="32"/>
    </row>
    <row r="823" spans="28:30" x14ac:dyDescent="0.25">
      <c r="AB823" s="34"/>
      <c r="AC823" s="32"/>
      <c r="AD823" s="32"/>
    </row>
    <row r="824" spans="28:30" x14ac:dyDescent="0.25">
      <c r="AB824" s="34"/>
      <c r="AC824" s="32"/>
      <c r="AD824" s="32"/>
    </row>
    <row r="825" spans="28:30" x14ac:dyDescent="0.25">
      <c r="AB825" s="34"/>
      <c r="AC825" s="32"/>
      <c r="AD825" s="32"/>
    </row>
    <row r="826" spans="28:30" x14ac:dyDescent="0.25">
      <c r="AB826" s="34"/>
      <c r="AC826" s="32"/>
      <c r="AD826" s="32"/>
    </row>
    <row r="827" spans="28:30" x14ac:dyDescent="0.25">
      <c r="AB827" s="34"/>
      <c r="AC827" s="32"/>
      <c r="AD827" s="32"/>
    </row>
    <row r="828" spans="28:30" x14ac:dyDescent="0.25">
      <c r="AB828" s="34"/>
      <c r="AC828" s="32"/>
      <c r="AD828" s="32"/>
    </row>
    <row r="829" spans="28:30" x14ac:dyDescent="0.25">
      <c r="AB829" s="34"/>
      <c r="AC829" s="32"/>
      <c r="AD829" s="32"/>
    </row>
    <row r="830" spans="28:30" x14ac:dyDescent="0.25">
      <c r="AB830" s="34"/>
      <c r="AC830" s="32"/>
      <c r="AD830" s="32"/>
    </row>
    <row r="831" spans="28:30" x14ac:dyDescent="0.25">
      <c r="AB831" s="34"/>
      <c r="AC831" s="32"/>
      <c r="AD831" s="32"/>
    </row>
    <row r="832" spans="28:30" x14ac:dyDescent="0.25">
      <c r="AB832" s="34"/>
      <c r="AC832" s="32"/>
      <c r="AD832" s="32"/>
    </row>
    <row r="833" spans="28:30" x14ac:dyDescent="0.25">
      <c r="AB833" s="34"/>
      <c r="AC833" s="32"/>
      <c r="AD833" s="32"/>
    </row>
    <row r="834" spans="28:30" x14ac:dyDescent="0.25">
      <c r="AB834" s="34"/>
      <c r="AC834" s="32"/>
      <c r="AD834" s="32"/>
    </row>
    <row r="835" spans="28:30" x14ac:dyDescent="0.25">
      <c r="AB835" s="34"/>
      <c r="AC835" s="32"/>
      <c r="AD835" s="32"/>
    </row>
    <row r="836" spans="28:30" x14ac:dyDescent="0.25">
      <c r="AB836" s="34"/>
      <c r="AC836" s="32"/>
      <c r="AD836" s="32"/>
    </row>
    <row r="837" spans="28:30" x14ac:dyDescent="0.25">
      <c r="AB837" s="34"/>
      <c r="AC837" s="32"/>
      <c r="AD837" s="32"/>
    </row>
    <row r="838" spans="28:30" x14ac:dyDescent="0.25">
      <c r="AB838" s="34"/>
      <c r="AC838" s="32"/>
      <c r="AD838" s="32"/>
    </row>
    <row r="839" spans="28:30" x14ac:dyDescent="0.25">
      <c r="AB839" s="34"/>
      <c r="AC839" s="32"/>
      <c r="AD839" s="32"/>
    </row>
    <row r="840" spans="28:30" x14ac:dyDescent="0.25">
      <c r="AB840" s="34"/>
      <c r="AC840" s="32"/>
      <c r="AD840" s="32"/>
    </row>
    <row r="841" spans="28:30" x14ac:dyDescent="0.25">
      <c r="AB841" s="34"/>
      <c r="AC841" s="32"/>
      <c r="AD841" s="32"/>
    </row>
    <row r="842" spans="28:30" x14ac:dyDescent="0.25">
      <c r="AB842" s="34"/>
      <c r="AC842" s="32"/>
      <c r="AD842" s="32"/>
    </row>
    <row r="843" spans="28:30" x14ac:dyDescent="0.25">
      <c r="AB843" s="34"/>
      <c r="AC843" s="32"/>
      <c r="AD843" s="32"/>
    </row>
    <row r="844" spans="28:30" x14ac:dyDescent="0.25">
      <c r="AB844" s="34"/>
      <c r="AC844" s="32"/>
      <c r="AD844" s="32"/>
    </row>
    <row r="845" spans="28:30" x14ac:dyDescent="0.25">
      <c r="AB845" s="34"/>
      <c r="AC845" s="32"/>
      <c r="AD845" s="32"/>
    </row>
    <row r="846" spans="28:30" x14ac:dyDescent="0.25">
      <c r="AB846" s="34"/>
      <c r="AC846" s="32"/>
      <c r="AD846" s="32"/>
    </row>
    <row r="847" spans="28:30" x14ac:dyDescent="0.25">
      <c r="AB847" s="34"/>
      <c r="AC847" s="32"/>
      <c r="AD847" s="32"/>
    </row>
    <row r="848" spans="28:30" x14ac:dyDescent="0.25">
      <c r="AB848" s="34"/>
      <c r="AC848" s="32"/>
      <c r="AD848" s="32"/>
    </row>
    <row r="849" spans="28:30" x14ac:dyDescent="0.25">
      <c r="AB849" s="34"/>
      <c r="AC849" s="32"/>
      <c r="AD849" s="32"/>
    </row>
    <row r="850" spans="28:30" x14ac:dyDescent="0.25">
      <c r="AB850" s="34"/>
      <c r="AC850" s="32"/>
      <c r="AD850" s="32"/>
    </row>
    <row r="851" spans="28:30" x14ac:dyDescent="0.25">
      <c r="AB851" s="34"/>
      <c r="AC851" s="32"/>
      <c r="AD851" s="32"/>
    </row>
    <row r="852" spans="28:30" x14ac:dyDescent="0.25">
      <c r="AB852" s="34"/>
      <c r="AC852" s="32"/>
      <c r="AD852" s="32"/>
    </row>
    <row r="853" spans="28:30" x14ac:dyDescent="0.25">
      <c r="AB853" s="34"/>
      <c r="AC853" s="32"/>
      <c r="AD853" s="32"/>
    </row>
    <row r="854" spans="28:30" x14ac:dyDescent="0.25">
      <c r="AB854" s="34"/>
      <c r="AC854" s="32"/>
      <c r="AD854" s="32"/>
    </row>
    <row r="855" spans="28:30" x14ac:dyDescent="0.25">
      <c r="AB855" s="34"/>
      <c r="AC855" s="32"/>
      <c r="AD855" s="32"/>
    </row>
    <row r="856" spans="28:30" x14ac:dyDescent="0.25">
      <c r="AB856" s="34"/>
      <c r="AC856" s="32"/>
      <c r="AD856" s="32"/>
    </row>
    <row r="857" spans="28:30" x14ac:dyDescent="0.25">
      <c r="AB857" s="34"/>
      <c r="AC857" s="32"/>
      <c r="AD857" s="32"/>
    </row>
    <row r="858" spans="28:30" x14ac:dyDescent="0.25">
      <c r="AB858" s="34"/>
      <c r="AC858" s="32"/>
      <c r="AD858" s="32"/>
    </row>
    <row r="859" spans="28:30" x14ac:dyDescent="0.25">
      <c r="AB859" s="34"/>
      <c r="AC859" s="32"/>
      <c r="AD859" s="32"/>
    </row>
    <row r="860" spans="28:30" x14ac:dyDescent="0.25">
      <c r="AB860" s="34"/>
      <c r="AC860" s="32"/>
      <c r="AD860" s="32"/>
    </row>
    <row r="861" spans="28:30" x14ac:dyDescent="0.25">
      <c r="AB861" s="34"/>
      <c r="AC861" s="32"/>
      <c r="AD861" s="32"/>
    </row>
    <row r="862" spans="28:30" x14ac:dyDescent="0.25">
      <c r="AB862" s="34"/>
      <c r="AC862" s="32"/>
      <c r="AD862" s="32"/>
    </row>
    <row r="863" spans="28:30" x14ac:dyDescent="0.25">
      <c r="AB863" s="34"/>
      <c r="AC863" s="32"/>
      <c r="AD863" s="32"/>
    </row>
    <row r="864" spans="28:30" x14ac:dyDescent="0.25">
      <c r="AB864" s="34"/>
      <c r="AC864" s="32"/>
      <c r="AD864" s="32"/>
    </row>
    <row r="865" spans="28:30" x14ac:dyDescent="0.25">
      <c r="AB865" s="34"/>
      <c r="AC865" s="32"/>
      <c r="AD865" s="32"/>
    </row>
    <row r="866" spans="28:30" x14ac:dyDescent="0.25">
      <c r="AB866" s="34"/>
      <c r="AC866" s="32"/>
      <c r="AD866" s="32"/>
    </row>
    <row r="867" spans="28:30" x14ac:dyDescent="0.25">
      <c r="AB867" s="34"/>
      <c r="AC867" s="32"/>
      <c r="AD867" s="32"/>
    </row>
    <row r="868" spans="28:30" x14ac:dyDescent="0.25">
      <c r="AB868" s="34"/>
      <c r="AC868" s="32"/>
      <c r="AD868" s="32"/>
    </row>
    <row r="869" spans="28:30" x14ac:dyDescent="0.25">
      <c r="AB869" s="34"/>
      <c r="AC869" s="32"/>
      <c r="AD869" s="32"/>
    </row>
    <row r="870" spans="28:30" x14ac:dyDescent="0.25">
      <c r="AB870" s="34"/>
      <c r="AC870" s="32"/>
      <c r="AD870" s="32"/>
    </row>
    <row r="871" spans="28:30" x14ac:dyDescent="0.25">
      <c r="AB871" s="34"/>
      <c r="AC871" s="32"/>
      <c r="AD871" s="32"/>
    </row>
    <row r="872" spans="28:30" x14ac:dyDescent="0.25">
      <c r="AB872" s="34"/>
      <c r="AC872" s="32"/>
      <c r="AD872" s="32"/>
    </row>
    <row r="873" spans="28:30" x14ac:dyDescent="0.25">
      <c r="AB873" s="34"/>
      <c r="AC873" s="32"/>
      <c r="AD873" s="32"/>
    </row>
    <row r="874" spans="28:30" x14ac:dyDescent="0.25">
      <c r="AB874" s="34"/>
      <c r="AC874" s="32"/>
      <c r="AD874" s="32"/>
    </row>
    <row r="875" spans="28:30" x14ac:dyDescent="0.25">
      <c r="AB875" s="34"/>
      <c r="AC875" s="32"/>
      <c r="AD875" s="32"/>
    </row>
    <row r="876" spans="28:30" x14ac:dyDescent="0.25">
      <c r="AB876" s="34"/>
      <c r="AC876" s="32"/>
      <c r="AD876" s="32"/>
    </row>
    <row r="877" spans="28:30" x14ac:dyDescent="0.25">
      <c r="AB877" s="34"/>
      <c r="AC877" s="32"/>
      <c r="AD877" s="32"/>
    </row>
    <row r="878" spans="28:30" x14ac:dyDescent="0.25">
      <c r="AB878" s="34"/>
      <c r="AC878" s="32"/>
      <c r="AD878" s="32"/>
    </row>
    <row r="879" spans="28:30" x14ac:dyDescent="0.25">
      <c r="AB879" s="34"/>
      <c r="AC879" s="32"/>
      <c r="AD879" s="32"/>
    </row>
    <row r="880" spans="28:30" x14ac:dyDescent="0.25">
      <c r="AB880" s="34"/>
      <c r="AC880" s="32"/>
      <c r="AD880" s="32"/>
    </row>
    <row r="881" spans="28:30" x14ac:dyDescent="0.25">
      <c r="AB881" s="34"/>
      <c r="AC881" s="32"/>
      <c r="AD881" s="32"/>
    </row>
    <row r="882" spans="28:30" x14ac:dyDescent="0.25">
      <c r="AB882" s="34"/>
      <c r="AC882" s="32"/>
      <c r="AD882" s="32"/>
    </row>
    <row r="883" spans="28:30" x14ac:dyDescent="0.25">
      <c r="AB883" s="34"/>
      <c r="AC883" s="32"/>
      <c r="AD883" s="32"/>
    </row>
    <row r="884" spans="28:30" x14ac:dyDescent="0.25">
      <c r="AB884" s="34"/>
      <c r="AC884" s="32"/>
      <c r="AD884" s="32"/>
    </row>
    <row r="885" spans="28:30" x14ac:dyDescent="0.25">
      <c r="AB885" s="34"/>
      <c r="AC885" s="32"/>
      <c r="AD885" s="32"/>
    </row>
    <row r="886" spans="28:30" x14ac:dyDescent="0.25">
      <c r="AB886" s="34"/>
      <c r="AC886" s="32"/>
      <c r="AD886" s="32"/>
    </row>
    <row r="887" spans="28:30" x14ac:dyDescent="0.25">
      <c r="AB887" s="34"/>
      <c r="AC887" s="32"/>
      <c r="AD887" s="32"/>
    </row>
    <row r="888" spans="28:30" x14ac:dyDescent="0.25">
      <c r="AB888" s="34"/>
      <c r="AC888" s="32"/>
      <c r="AD888" s="32"/>
    </row>
    <row r="889" spans="28:30" x14ac:dyDescent="0.25">
      <c r="AB889" s="34"/>
      <c r="AC889" s="32"/>
      <c r="AD889" s="32"/>
    </row>
    <row r="890" spans="28:30" x14ac:dyDescent="0.25">
      <c r="AB890" s="34"/>
      <c r="AC890" s="32"/>
      <c r="AD890" s="32"/>
    </row>
    <row r="891" spans="28:30" x14ac:dyDescent="0.25">
      <c r="AB891" s="34"/>
      <c r="AC891" s="32"/>
      <c r="AD891" s="32"/>
    </row>
    <row r="892" spans="28:30" x14ac:dyDescent="0.25">
      <c r="AB892" s="34"/>
      <c r="AC892" s="32"/>
      <c r="AD892" s="32"/>
    </row>
    <row r="893" spans="28:30" x14ac:dyDescent="0.25">
      <c r="AB893" s="34"/>
      <c r="AC893" s="32"/>
      <c r="AD893" s="32"/>
    </row>
    <row r="894" spans="28:30" x14ac:dyDescent="0.25">
      <c r="AB894" s="34"/>
      <c r="AC894" s="32"/>
      <c r="AD894" s="32"/>
    </row>
    <row r="895" spans="28:30" x14ac:dyDescent="0.25">
      <c r="AB895" s="34"/>
      <c r="AC895" s="32"/>
      <c r="AD895" s="32"/>
    </row>
    <row r="896" spans="28:30" x14ac:dyDescent="0.25">
      <c r="AB896" s="34"/>
      <c r="AC896" s="32"/>
      <c r="AD896" s="32"/>
    </row>
    <row r="897" spans="28:30" x14ac:dyDescent="0.25">
      <c r="AB897" s="34"/>
      <c r="AC897" s="32"/>
      <c r="AD897" s="32"/>
    </row>
    <row r="898" spans="28:30" x14ac:dyDescent="0.25">
      <c r="AB898" s="34"/>
      <c r="AC898" s="32"/>
      <c r="AD898" s="32"/>
    </row>
    <row r="899" spans="28:30" x14ac:dyDescent="0.25">
      <c r="AB899" s="34"/>
      <c r="AC899" s="32"/>
      <c r="AD899" s="32"/>
    </row>
    <row r="900" spans="28:30" x14ac:dyDescent="0.25">
      <c r="AB900" s="34"/>
      <c r="AC900" s="32"/>
      <c r="AD900" s="32"/>
    </row>
    <row r="901" spans="28:30" x14ac:dyDescent="0.25">
      <c r="AB901" s="34"/>
      <c r="AC901" s="32"/>
      <c r="AD901" s="32"/>
    </row>
    <row r="902" spans="28:30" x14ac:dyDescent="0.25">
      <c r="AB902" s="34"/>
      <c r="AC902" s="32"/>
      <c r="AD902" s="32"/>
    </row>
    <row r="903" spans="28:30" x14ac:dyDescent="0.25">
      <c r="AB903" s="34"/>
      <c r="AC903" s="32"/>
      <c r="AD903" s="32"/>
    </row>
    <row r="904" spans="28:30" x14ac:dyDescent="0.25">
      <c r="AB904" s="34"/>
      <c r="AC904" s="32"/>
      <c r="AD904" s="32"/>
    </row>
    <row r="905" spans="28:30" x14ac:dyDescent="0.25">
      <c r="AB905" s="34"/>
      <c r="AC905" s="32"/>
      <c r="AD905" s="32"/>
    </row>
    <row r="906" spans="28:30" x14ac:dyDescent="0.25">
      <c r="AB906" s="34"/>
      <c r="AC906" s="32"/>
      <c r="AD906" s="32"/>
    </row>
    <row r="907" spans="28:30" x14ac:dyDescent="0.25">
      <c r="AB907" s="34"/>
      <c r="AC907" s="32"/>
      <c r="AD907" s="32"/>
    </row>
    <row r="908" spans="28:30" x14ac:dyDescent="0.25">
      <c r="AB908" s="34"/>
      <c r="AC908" s="32"/>
      <c r="AD908" s="32"/>
    </row>
    <row r="909" spans="28:30" x14ac:dyDescent="0.25">
      <c r="AB909" s="34"/>
      <c r="AC909" s="32"/>
      <c r="AD909" s="32"/>
    </row>
    <row r="910" spans="28:30" x14ac:dyDescent="0.25">
      <c r="AB910" s="34"/>
      <c r="AC910" s="32"/>
      <c r="AD910" s="32"/>
    </row>
    <row r="911" spans="28:30" x14ac:dyDescent="0.25">
      <c r="AB911" s="34"/>
      <c r="AC911" s="32"/>
      <c r="AD911" s="32"/>
    </row>
    <row r="912" spans="28:30" x14ac:dyDescent="0.25">
      <c r="AB912" s="34"/>
      <c r="AC912" s="32"/>
      <c r="AD912" s="32"/>
    </row>
    <row r="913" spans="28:30" x14ac:dyDescent="0.25">
      <c r="AB913" s="34"/>
      <c r="AC913" s="32"/>
      <c r="AD913" s="32"/>
    </row>
    <row r="914" spans="28:30" x14ac:dyDescent="0.25">
      <c r="AB914" s="34"/>
      <c r="AC914" s="32"/>
      <c r="AD914" s="32"/>
    </row>
    <row r="915" spans="28:30" x14ac:dyDescent="0.25">
      <c r="AB915" s="34"/>
      <c r="AC915" s="32"/>
      <c r="AD915" s="32"/>
    </row>
    <row r="916" spans="28:30" x14ac:dyDescent="0.25">
      <c r="AB916" s="34"/>
      <c r="AC916" s="32"/>
      <c r="AD916" s="32"/>
    </row>
    <row r="917" spans="28:30" x14ac:dyDescent="0.25">
      <c r="AB917" s="34"/>
      <c r="AC917" s="32"/>
      <c r="AD917" s="32"/>
    </row>
    <row r="918" spans="28:30" x14ac:dyDescent="0.25">
      <c r="AB918" s="34"/>
      <c r="AC918" s="32"/>
      <c r="AD918" s="32"/>
    </row>
    <row r="919" spans="28:30" x14ac:dyDescent="0.25">
      <c r="AB919" s="34"/>
      <c r="AC919" s="32"/>
      <c r="AD919" s="32"/>
    </row>
    <row r="920" spans="28:30" x14ac:dyDescent="0.25">
      <c r="AB920" s="34"/>
      <c r="AC920" s="32"/>
      <c r="AD920" s="32"/>
    </row>
    <row r="921" spans="28:30" x14ac:dyDescent="0.25">
      <c r="AB921" s="34"/>
      <c r="AC921" s="32"/>
      <c r="AD921" s="32"/>
    </row>
    <row r="922" spans="28:30" x14ac:dyDescent="0.25">
      <c r="AB922" s="34"/>
      <c r="AC922" s="32"/>
      <c r="AD922" s="32"/>
    </row>
    <row r="923" spans="28:30" x14ac:dyDescent="0.25">
      <c r="AB923" s="34"/>
      <c r="AC923" s="32"/>
      <c r="AD923" s="32"/>
    </row>
    <row r="924" spans="28:30" x14ac:dyDescent="0.25">
      <c r="AB924" s="34"/>
      <c r="AC924" s="32"/>
      <c r="AD924" s="32"/>
    </row>
    <row r="925" spans="28:30" x14ac:dyDescent="0.25">
      <c r="AB925" s="34"/>
      <c r="AC925" s="32"/>
      <c r="AD925" s="32"/>
    </row>
    <row r="926" spans="28:30" x14ac:dyDescent="0.25">
      <c r="AB926" s="34"/>
      <c r="AC926" s="32"/>
      <c r="AD926" s="32"/>
    </row>
    <row r="927" spans="28:30" x14ac:dyDescent="0.25">
      <c r="AB927" s="34"/>
      <c r="AC927" s="32"/>
      <c r="AD927" s="32"/>
    </row>
    <row r="928" spans="28:30" x14ac:dyDescent="0.25">
      <c r="AB928" s="34"/>
      <c r="AC928" s="32"/>
      <c r="AD928" s="32"/>
    </row>
    <row r="929" spans="28:30" x14ac:dyDescent="0.25">
      <c r="AB929" s="34"/>
      <c r="AC929" s="32"/>
      <c r="AD929" s="32"/>
    </row>
    <row r="930" spans="28:30" x14ac:dyDescent="0.25">
      <c r="AB930" s="34"/>
      <c r="AC930" s="32"/>
      <c r="AD930" s="32"/>
    </row>
    <row r="931" spans="28:30" x14ac:dyDescent="0.25">
      <c r="AB931" s="34"/>
      <c r="AC931" s="32"/>
      <c r="AD931" s="32"/>
    </row>
    <row r="932" spans="28:30" x14ac:dyDescent="0.25">
      <c r="AB932" s="34"/>
      <c r="AC932" s="32"/>
      <c r="AD932" s="32"/>
    </row>
    <row r="933" spans="28:30" x14ac:dyDescent="0.25">
      <c r="AB933" s="34"/>
      <c r="AC933" s="32"/>
      <c r="AD933" s="32"/>
    </row>
    <row r="934" spans="28:30" x14ac:dyDescent="0.25">
      <c r="AB934" s="34"/>
      <c r="AC934" s="32"/>
      <c r="AD934" s="32"/>
    </row>
    <row r="935" spans="28:30" x14ac:dyDescent="0.25">
      <c r="AB935" s="34"/>
      <c r="AC935" s="32"/>
      <c r="AD935" s="32"/>
    </row>
    <row r="936" spans="28:30" x14ac:dyDescent="0.25">
      <c r="AB936" s="34"/>
      <c r="AC936" s="32"/>
      <c r="AD936" s="32"/>
    </row>
    <row r="937" spans="28:30" x14ac:dyDescent="0.25">
      <c r="AB937" s="34"/>
      <c r="AC937" s="32"/>
      <c r="AD937" s="32"/>
    </row>
    <row r="938" spans="28:30" x14ac:dyDescent="0.25">
      <c r="AB938" s="34"/>
      <c r="AC938" s="32"/>
      <c r="AD938" s="32"/>
    </row>
    <row r="939" spans="28:30" x14ac:dyDescent="0.25">
      <c r="AB939" s="34"/>
      <c r="AC939" s="32"/>
      <c r="AD939" s="32"/>
    </row>
    <row r="940" spans="28:30" x14ac:dyDescent="0.25">
      <c r="AB940" s="34"/>
      <c r="AC940" s="32"/>
      <c r="AD940" s="32"/>
    </row>
    <row r="941" spans="28:30" x14ac:dyDescent="0.25">
      <c r="AB941" s="34"/>
      <c r="AC941" s="32"/>
      <c r="AD941" s="32"/>
    </row>
    <row r="942" spans="28:30" x14ac:dyDescent="0.25">
      <c r="AB942" s="34"/>
      <c r="AC942" s="32"/>
      <c r="AD942" s="32"/>
    </row>
    <row r="943" spans="28:30" x14ac:dyDescent="0.25">
      <c r="AB943" s="34"/>
      <c r="AC943" s="32"/>
      <c r="AD943" s="32"/>
    </row>
    <row r="944" spans="28:30" x14ac:dyDescent="0.25">
      <c r="AB944" s="34"/>
      <c r="AC944" s="32"/>
      <c r="AD944" s="32"/>
    </row>
    <row r="945" spans="28:30" x14ac:dyDescent="0.25">
      <c r="AB945" s="34"/>
      <c r="AC945" s="32"/>
      <c r="AD945" s="32"/>
    </row>
    <row r="946" spans="28:30" x14ac:dyDescent="0.25">
      <c r="AB946" s="34"/>
      <c r="AC946" s="32"/>
      <c r="AD946" s="32"/>
    </row>
    <row r="947" spans="28:30" x14ac:dyDescent="0.25">
      <c r="AB947" s="34"/>
      <c r="AC947" s="32"/>
      <c r="AD947" s="32"/>
    </row>
    <row r="948" spans="28:30" x14ac:dyDescent="0.25">
      <c r="AB948" s="34"/>
      <c r="AC948" s="32"/>
      <c r="AD948" s="32"/>
    </row>
    <row r="949" spans="28:30" x14ac:dyDescent="0.25">
      <c r="AB949" s="34"/>
      <c r="AC949" s="32"/>
      <c r="AD949" s="32"/>
    </row>
    <row r="950" spans="28:30" x14ac:dyDescent="0.25">
      <c r="AB950" s="34"/>
      <c r="AC950" s="32"/>
      <c r="AD950" s="32"/>
    </row>
    <row r="951" spans="28:30" x14ac:dyDescent="0.25">
      <c r="AB951" s="34"/>
      <c r="AC951" s="32"/>
      <c r="AD951" s="32"/>
    </row>
    <row r="952" spans="28:30" x14ac:dyDescent="0.25">
      <c r="AB952" s="34"/>
      <c r="AC952" s="32"/>
      <c r="AD952" s="32"/>
    </row>
    <row r="953" spans="28:30" x14ac:dyDescent="0.25">
      <c r="AB953" s="34"/>
      <c r="AC953" s="32"/>
      <c r="AD953" s="32"/>
    </row>
    <row r="954" spans="28:30" x14ac:dyDescent="0.25">
      <c r="AB954" s="34"/>
      <c r="AC954" s="32"/>
      <c r="AD954" s="32"/>
    </row>
    <row r="955" spans="28:30" x14ac:dyDescent="0.25">
      <c r="AB955" s="34"/>
      <c r="AC955" s="32"/>
      <c r="AD955" s="32"/>
    </row>
    <row r="956" spans="28:30" x14ac:dyDescent="0.25">
      <c r="AB956" s="34"/>
      <c r="AC956" s="32"/>
      <c r="AD956" s="32"/>
    </row>
    <row r="957" spans="28:30" x14ac:dyDescent="0.25">
      <c r="AB957" s="34"/>
      <c r="AC957" s="32"/>
      <c r="AD957" s="32"/>
    </row>
    <row r="958" spans="28:30" x14ac:dyDescent="0.25">
      <c r="AB958" s="34"/>
      <c r="AC958" s="32"/>
      <c r="AD958" s="32"/>
    </row>
    <row r="959" spans="28:30" x14ac:dyDescent="0.25">
      <c r="AB959" s="34"/>
      <c r="AC959" s="32"/>
      <c r="AD959" s="32"/>
    </row>
    <row r="960" spans="28:30" x14ac:dyDescent="0.25">
      <c r="AB960" s="34"/>
      <c r="AC960" s="32"/>
      <c r="AD960" s="32"/>
    </row>
    <row r="961" spans="28:30" x14ac:dyDescent="0.25">
      <c r="AB961" s="34"/>
      <c r="AC961" s="32"/>
      <c r="AD961" s="32"/>
    </row>
    <row r="962" spans="28:30" x14ac:dyDescent="0.25">
      <c r="AB962" s="34"/>
      <c r="AC962" s="32"/>
      <c r="AD962" s="32"/>
    </row>
    <row r="963" spans="28:30" x14ac:dyDescent="0.25">
      <c r="AB963" s="34"/>
      <c r="AC963" s="32"/>
      <c r="AD963" s="32"/>
    </row>
    <row r="964" spans="28:30" x14ac:dyDescent="0.25">
      <c r="AB964" s="34"/>
      <c r="AC964" s="32"/>
      <c r="AD964" s="32"/>
    </row>
    <row r="965" spans="28:30" x14ac:dyDescent="0.25">
      <c r="AB965" s="34"/>
      <c r="AC965" s="32"/>
      <c r="AD965" s="32"/>
    </row>
    <row r="966" spans="28:30" x14ac:dyDescent="0.25">
      <c r="AB966" s="34"/>
      <c r="AC966" s="32"/>
      <c r="AD966" s="32"/>
    </row>
    <row r="967" spans="28:30" x14ac:dyDescent="0.25">
      <c r="AB967" s="34"/>
      <c r="AC967" s="32"/>
      <c r="AD967" s="32"/>
    </row>
    <row r="968" spans="28:30" x14ac:dyDescent="0.25">
      <c r="AB968" s="34"/>
      <c r="AC968" s="32"/>
      <c r="AD968" s="32"/>
    </row>
    <row r="969" spans="28:30" x14ac:dyDescent="0.25">
      <c r="AB969" s="34"/>
      <c r="AC969" s="32"/>
      <c r="AD969" s="32"/>
    </row>
    <row r="970" spans="28:30" x14ac:dyDescent="0.25">
      <c r="AB970" s="34"/>
      <c r="AC970" s="32"/>
      <c r="AD970" s="32"/>
    </row>
    <row r="971" spans="28:30" x14ac:dyDescent="0.25">
      <c r="AB971" s="34"/>
      <c r="AC971" s="32"/>
      <c r="AD971" s="32"/>
    </row>
    <row r="972" spans="28:30" x14ac:dyDescent="0.25">
      <c r="AB972" s="34"/>
      <c r="AC972" s="32"/>
      <c r="AD972" s="32"/>
    </row>
    <row r="973" spans="28:30" x14ac:dyDescent="0.25">
      <c r="AB973" s="34"/>
      <c r="AC973" s="32"/>
      <c r="AD973" s="32"/>
    </row>
    <row r="974" spans="28:30" x14ac:dyDescent="0.25">
      <c r="AB974" s="34"/>
      <c r="AC974" s="32"/>
      <c r="AD974" s="32"/>
    </row>
    <row r="975" spans="28:30" x14ac:dyDescent="0.25">
      <c r="AB975" s="34"/>
      <c r="AC975" s="32"/>
      <c r="AD975" s="32"/>
    </row>
    <row r="976" spans="28:30" x14ac:dyDescent="0.25">
      <c r="AB976" s="34"/>
      <c r="AC976" s="32"/>
      <c r="AD976" s="32"/>
    </row>
    <row r="977" spans="28:30" x14ac:dyDescent="0.25">
      <c r="AB977" s="34"/>
      <c r="AC977" s="32"/>
      <c r="AD977" s="32"/>
    </row>
    <row r="978" spans="28:30" x14ac:dyDescent="0.25">
      <c r="AB978" s="34"/>
      <c r="AC978" s="32"/>
      <c r="AD978" s="32"/>
    </row>
    <row r="979" spans="28:30" x14ac:dyDescent="0.25">
      <c r="AC979" s="32"/>
      <c r="AD979" s="32"/>
    </row>
  </sheetData>
  <sortState xmlns:xlrd2="http://schemas.microsoft.com/office/spreadsheetml/2017/richdata2" ref="A2:AE121">
    <sortCondition ref="C2:C121"/>
  </sortState>
  <phoneticPr fontId="3" type="noConversion"/>
  <conditionalFormatting sqref="AC1:AE1 AB1:AB120 E121:AE121 AB122:AB978">
    <cfRule type="cellIs" dxfId="0" priority="1" operator="lessThan">
      <formula>0</formula>
    </cfRule>
  </conditionalFormatting>
  <dataValidations count="1">
    <dataValidation type="custom" allowBlank="1" showDropDown="1" sqref="Y89:Y90 J47:M55 J38:N46 N112:N120 H112:I120 D112:D120 Y112:Y120 K112:K120 Y93:Y105 Z67:Z120 Y67:Y86 I38:I111 J56:J120 L56:M120 N47:N105 K56:K105 Y2:Z66 I2:N37 AA2:AB120 E2:G120 H2:H111 D2:D96 O2:X120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C7" sqref="C7"/>
    </sheetView>
  </sheetViews>
  <sheetFormatPr defaultColWidth="14.42578125" defaultRowHeight="15" customHeight="1" x14ac:dyDescent="0.25"/>
  <cols>
    <col min="1" max="1" width="14" style="8" bestFit="1" customWidth="1"/>
    <col min="2" max="2" width="9.42578125" style="7" bestFit="1" customWidth="1"/>
    <col min="3" max="3" width="53.140625" style="7" bestFit="1" customWidth="1"/>
    <col min="4" max="4" width="16.85546875" style="9" bestFit="1" customWidth="1"/>
    <col min="5" max="5" width="31.85546875" style="7" bestFit="1" customWidth="1"/>
    <col min="6" max="6" width="11.7109375" style="7" customWidth="1"/>
    <col min="7" max="7" width="4.85546875" style="7" customWidth="1"/>
    <col min="8" max="23" width="24.140625" style="7" customWidth="1"/>
    <col min="24" max="16384" width="14.42578125" style="7"/>
  </cols>
  <sheetData>
    <row r="1" spans="1:24" ht="18" x14ac:dyDescent="0.25">
      <c r="A1" s="5" t="s">
        <v>166</v>
      </c>
      <c r="B1" s="1" t="s">
        <v>246</v>
      </c>
      <c r="C1" s="2" t="s">
        <v>247</v>
      </c>
      <c r="D1" s="6" t="s">
        <v>139</v>
      </c>
      <c r="E1" s="3" t="s">
        <v>248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5.75" customHeight="1" x14ac:dyDescent="0.25">
      <c r="A2" s="8">
        <v>46238</v>
      </c>
      <c r="B2" s="7" t="s">
        <v>251</v>
      </c>
      <c r="C2" s="7" t="s">
        <v>250</v>
      </c>
      <c r="D2" s="9">
        <v>48000</v>
      </c>
      <c r="E2" s="7" t="s">
        <v>252</v>
      </c>
    </row>
    <row r="3" spans="1:24" ht="15.75" customHeight="1" x14ac:dyDescent="0.25"/>
    <row r="4" spans="1:24" ht="15.75" customHeight="1" x14ac:dyDescent="0.25"/>
    <row r="5" spans="1:24" ht="15.75" customHeight="1" x14ac:dyDescent="0.25"/>
    <row r="6" spans="1:24" ht="15.75" customHeight="1" x14ac:dyDescent="0.25"/>
    <row r="7" spans="1:24" ht="15.75" customHeight="1" x14ac:dyDescent="0.25"/>
    <row r="8" spans="1:24" ht="15.75" customHeight="1" x14ac:dyDescent="0.25"/>
    <row r="9" spans="1:24" ht="15.75" customHeight="1" x14ac:dyDescent="0.25"/>
    <row r="10" spans="1:24" ht="15.75" customHeight="1" x14ac:dyDescent="0.25"/>
    <row r="11" spans="1:24" ht="15.75" customHeight="1" x14ac:dyDescent="0.25"/>
    <row r="12" spans="1:24" ht="15.75" customHeight="1" x14ac:dyDescent="0.25"/>
    <row r="13" spans="1:24" s="8" customFormat="1" ht="15.75" customHeight="1" x14ac:dyDescent="0.25">
      <c r="B13" s="7"/>
      <c r="C13" s="7"/>
      <c r="D13" s="9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ht="15.75" customHeight="1" x14ac:dyDescent="0.25">
      <c r="B14" s="7"/>
      <c r="C14" s="7"/>
      <c r="D14" s="9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ht="15.75" customHeight="1" x14ac:dyDescent="0.25">
      <c r="B15" s="7"/>
      <c r="C15" s="7"/>
      <c r="D15" s="9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ht="15.75" customHeight="1" x14ac:dyDescent="0.25">
      <c r="A16" s="10"/>
      <c r="B16" s="11"/>
      <c r="C16" s="11"/>
      <c r="D16" s="12"/>
      <c r="E16" s="11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ht="15.75" customHeight="1" x14ac:dyDescent="0.25">
      <c r="B17" s="7"/>
      <c r="C17" s="7"/>
      <c r="D17" s="9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ht="15.75" customHeight="1" x14ac:dyDescent="0.25">
      <c r="B18" s="7"/>
      <c r="C18" s="7"/>
      <c r="D18" s="9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ht="15.75" customHeight="1" x14ac:dyDescent="0.25">
      <c r="B19" s="7"/>
      <c r="C19" s="7"/>
      <c r="D19" s="9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ht="15.75" customHeight="1" x14ac:dyDescent="0.25">
      <c r="A20" s="10"/>
      <c r="B20" s="11"/>
      <c r="C20" s="11"/>
      <c r="D20" s="12"/>
      <c r="E20" s="11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ht="15.75" customHeight="1" x14ac:dyDescent="0.25">
      <c r="B21" s="7"/>
      <c r="C21" s="7"/>
      <c r="D21" s="9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ht="15.75" customHeight="1" x14ac:dyDescent="0.25">
      <c r="B22" s="7"/>
      <c r="C22" s="7"/>
      <c r="D22" s="9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ht="15.75" customHeight="1" x14ac:dyDescent="0.25">
      <c r="B23" s="7"/>
      <c r="C23" s="7"/>
      <c r="D23" s="9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ht="15.75" customHeight="1" x14ac:dyDescent="0.25">
      <c r="B24" s="7"/>
      <c r="C24" s="7"/>
      <c r="D24" s="9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ht="15.75" customHeight="1" x14ac:dyDescent="0.25">
      <c r="B25" s="7"/>
      <c r="C25" s="7"/>
      <c r="D25" s="9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ht="15.75" customHeight="1" x14ac:dyDescent="0.25">
      <c r="B26" s="7"/>
      <c r="C26" s="7"/>
      <c r="D26" s="9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ht="15.75" customHeight="1" x14ac:dyDescent="0.25">
      <c r="B27" s="7"/>
      <c r="C27" s="7"/>
      <c r="D27" s="9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ht="15.75" customHeight="1" x14ac:dyDescent="0.25">
      <c r="B28" s="7"/>
      <c r="C28" s="7"/>
      <c r="D28" s="9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ht="15.75" customHeight="1" x14ac:dyDescent="0.25">
      <c r="B29" s="7"/>
      <c r="C29" s="7"/>
      <c r="D29" s="9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ht="15.75" customHeight="1" x14ac:dyDescent="0.25">
      <c r="B30" s="7"/>
      <c r="C30" s="7"/>
      <c r="D30" s="9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ht="15.75" customHeight="1" x14ac:dyDescent="0.25">
      <c r="B31" s="7"/>
      <c r="C31" s="7"/>
      <c r="D31" s="9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ht="15.75" customHeight="1" x14ac:dyDescent="0.25">
      <c r="B32" s="7"/>
      <c r="C32" s="7"/>
      <c r="D32" s="9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ht="15.75" customHeight="1" x14ac:dyDescent="0.25">
      <c r="B33" s="7"/>
      <c r="C33" s="7"/>
      <c r="D33" s="9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ht="15.75" customHeight="1" x14ac:dyDescent="0.25"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ht="15.75" customHeigh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ht="15.75" customHeight="1" x14ac:dyDescent="0.25">
      <c r="B36" s="7"/>
      <c r="C36" s="7"/>
      <c r="D36" s="9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ht="15.75" customHeight="1" x14ac:dyDescent="0.25">
      <c r="B37" s="7"/>
      <c r="C37" s="7"/>
      <c r="D37" s="9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ht="15.75" customHeight="1" x14ac:dyDescent="0.25">
      <c r="B38" s="7"/>
      <c r="C38" s="7"/>
      <c r="D38" s="9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ht="15.75" customHeight="1" x14ac:dyDescent="0.25">
      <c r="B39" s="7"/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ht="15.75" customHeight="1" x14ac:dyDescent="0.25">
      <c r="B40" s="7"/>
      <c r="C40" s="7"/>
      <c r="D40" s="9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ht="15.75" customHeight="1" x14ac:dyDescent="0.25">
      <c r="A41" s="10"/>
      <c r="B41" s="11"/>
      <c r="C41" s="11"/>
      <c r="D41" s="12"/>
      <c r="E41" s="1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ht="15.75" customHeight="1" x14ac:dyDescent="0.25">
      <c r="B42" s="7"/>
      <c r="C42" s="7"/>
      <c r="D42" s="9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ht="15.75" customHeight="1" x14ac:dyDescent="0.25">
      <c r="B43" s="7"/>
      <c r="C43" s="7"/>
      <c r="D43" s="9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ht="15.75" customHeight="1" x14ac:dyDescent="0.25">
      <c r="B44" s="7"/>
      <c r="C44" s="7"/>
      <c r="D44" s="9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ht="15.75" customHeight="1" x14ac:dyDescent="0.25">
      <c r="A45" s="10"/>
      <c r="B45" s="11"/>
      <c r="C45" s="11"/>
      <c r="D45" s="12"/>
      <c r="E45" s="11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ht="15.75" customHeight="1" x14ac:dyDescent="0.25">
      <c r="B46" s="7"/>
      <c r="C46" s="7"/>
      <c r="D46" s="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ht="15.75" customHeight="1" x14ac:dyDescent="0.25">
      <c r="B47" s="7"/>
      <c r="C47" s="7"/>
      <c r="D47" s="9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ht="15.75" customHeight="1" x14ac:dyDescent="0.25">
      <c r="A48" s="10"/>
      <c r="B48" s="11"/>
      <c r="C48" s="11"/>
      <c r="D48" s="12"/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ht="15.75" customHeight="1" x14ac:dyDescent="0.25">
      <c r="A49" s="8"/>
      <c r="B49" s="7"/>
      <c r="C49" s="7"/>
      <c r="D49" s="9"/>
      <c r="E49" s="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ht="15.75" customHeight="1" x14ac:dyDescent="0.25">
      <c r="A50" s="8"/>
      <c r="B50" s="7"/>
      <c r="C50" s="7"/>
      <c r="D50" s="9"/>
      <c r="E50" s="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ht="15.75" customHeigh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ht="15.75" customHeigh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ht="15.75" customHeigh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ht="15.75" customHeigh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ht="15.75" customHeigh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ht="15.75" customHeigh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ht="15.75" customHeigh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ht="15.75" customHeigh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ht="15.75" customHeigh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ht="15.75" customHeigh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ht="15.75" customHeigh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ht="15.75" customHeigh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ht="15.75" customHeigh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ht="15.75" customHeigh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ht="15.75" customHeigh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ht="15.75" customHeigh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ht="15.75" customHeigh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ht="15.75" customHeigh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ht="15.75" customHeigh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ht="15.75" customHeigh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ht="15.75" customHeigh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ht="15.75" customHeigh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ht="15.75" customHeigh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ht="15.75" customHeigh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ht="15.75" customHeigh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ht="15.75" customHeigh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ht="15.75" customHeigh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ht="15.75" customHeigh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ht="15.75" customHeigh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ht="15.75" customHeigh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ht="15.75" customHeigh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ht="15.75" customHeigh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ht="15.75" customHeigh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ht="15.75" customHeigh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ht="15.75" customHeigh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ht="15.75" customHeigh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ht="15.75" customHeigh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ht="15.75" customHeigh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ht="15.75" customHeigh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ht="15.75" customHeigh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ht="15.75" customHeigh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ht="15.75" customHeigh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ht="15.75" customHeigh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ht="15.75" customHeigh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ht="15.75" customHeigh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ht="15.75" customHeigh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ht="15.75" customHeigh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ht="15.75" customHeigh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ht="15.75" customHeigh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ht="15.75" customHeigh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ht="15.75" customHeigh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ht="15.75" customHeigh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ht="15.75" customHeigh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ht="15.75" customHeigh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ht="15.75" customHeigh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ht="15.75" customHeigh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ht="15.75" customHeigh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ht="15.75" customHeigh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ht="15.75" customHeigh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ht="15.75" customHeigh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ht="15.75" customHeigh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ht="15.75" customHeigh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ht="15.75" customHeigh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ht="15.75" customHeigh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ht="15.75" customHeigh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ht="15.75" customHeigh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ht="15.75" customHeigh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ht="15.75" customHeigh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ht="15.75" customHeigh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ht="15.75" customHeigh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ht="15.75" customHeigh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ht="15.75" customHeigh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ht="15.75" customHeigh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ht="15.75" customHeigh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ht="15.75" customHeigh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ht="15.75" customHeigh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ht="15.75" customHeigh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ht="15.75" customHeigh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ht="15.75" customHeigh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ht="15.75" customHeigh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ht="15.75" customHeigh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ht="15.75" customHeigh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ht="15.75" customHeigh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ht="15.75" customHeigh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ht="15.75" customHeigh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ht="15.75" customHeigh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ht="15.75" customHeigh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ht="15.75" customHeigh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ht="15.75" customHeigh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ht="15.75" customHeigh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ht="15.75" customHeigh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ht="15.75" customHeigh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ht="15.75" customHeigh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ht="15.75" customHeigh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ht="15.75" customHeigh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ht="15.75" customHeigh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ht="15.75" customHeigh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ht="15.75" customHeigh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ht="15.75" customHeigh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ht="15.75" customHeigh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ht="15.75" customHeigh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ht="15.75" customHeigh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ht="15.75" customHeigh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ht="15.75" customHeigh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ht="15.75" customHeigh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ht="15.75" customHeigh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ht="15.75" customHeigh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ht="15.75" customHeigh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ht="15.75" customHeigh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ht="15.75" customHeigh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ht="15.75" customHeigh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ht="15.75" customHeigh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ht="15.75" customHeigh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ht="15.75" customHeigh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ht="15.75" customHeigh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ht="15.75" customHeigh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ht="15.75" customHeigh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ht="15.75" customHeigh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ht="15.75" customHeigh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ht="15.75" customHeigh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ht="15.75" customHeigh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ht="15.75" customHeigh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ht="15.75" customHeigh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ht="15.75" customHeigh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ht="15.75" customHeigh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ht="15.75" customHeigh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ht="15.75" customHeigh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ht="15.75" customHeigh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ht="15.75" customHeigh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ht="15.75" customHeigh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ht="15.75" customHeigh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ht="15.75" customHeigh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ht="15.75" customHeigh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ht="15.75" customHeigh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ht="15.75" customHeigh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ht="15.75" customHeigh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ht="15.75" customHeigh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ht="15.75" customHeigh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ht="15.75" customHeigh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ht="15.75" customHeigh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ht="15.75" customHeigh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ht="15.75" customHeigh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ht="15.75" customHeigh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ht="15.75" customHeigh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ht="15.75" customHeigh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ht="15.75" customHeigh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ht="15.75" customHeigh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ht="15.75" customHeigh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ht="15.75" customHeigh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ht="15.75" customHeigh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ht="15.75" customHeigh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ht="15.75" customHeigh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ht="15.75" customHeigh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ht="15.75" customHeigh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ht="15.75" customHeigh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ht="15.75" customHeigh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ht="15.75" customHeigh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ht="15.75" customHeigh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ht="15.75" customHeigh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ht="15.75" customHeigh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ht="15.75" customHeigh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ht="15.75" customHeigh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ht="15.75" customHeigh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ht="15.75" customHeigh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ht="15.75" customHeigh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ht="15.75" customHeigh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ht="15.75" customHeigh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ht="15.75" customHeigh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ht="15.75" customHeigh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ht="15.75" customHeigh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ht="15.75" customHeigh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ht="15.75" customHeigh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ht="15.75" customHeigh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ht="15.75" customHeigh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ht="15.75" customHeigh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ht="15.75" customHeigh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ht="15.75" customHeigh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ht="15.75" customHeigh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ht="15.75" customHeigh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ht="15.75" customHeigh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ht="15.75" customHeigh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ht="15.75" customHeigh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ht="15.75" customHeigh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ht="15.75" customHeigh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ht="15.75" customHeigh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ht="15.75" customHeigh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ht="15.75" customHeigh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ht="15.75" customHeigh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ht="15.75" customHeigh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ht="15.75" customHeigh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ht="15.75" customHeigh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ht="15.75" customHeigh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ht="15.75" customHeigh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ht="15.75" customHeigh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ht="15.75" customHeigh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ht="15.75" customHeigh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ht="15.75" customHeigh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ht="15.75" customHeigh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ht="15.75" customHeigh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ht="15.75" customHeigh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ht="15.75" customHeigh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ht="15.75" customHeigh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ht="15.75" customHeigh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ht="15.75" customHeigh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ht="15.75" customHeigh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ht="15.75" customHeigh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ht="15.75" customHeigh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ht="15.75" customHeigh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ht="15.75" customHeigh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ht="15.75" customHeigh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ht="15.75" customHeigh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ht="15.75" customHeigh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ht="15.75" customHeigh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ht="15.75" customHeigh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ht="15.75" customHeigh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ht="15.75" customHeigh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ht="15.75" customHeigh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ht="15.75" customHeigh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ht="15.75" customHeigh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ht="15.75" customHeigh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ht="15.75" customHeigh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ht="15.75" customHeigh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ht="15.75" customHeigh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ht="15.75" customHeigh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ht="15.75" customHeigh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ht="15.75" customHeigh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ht="15.75" customHeigh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ht="15.75" customHeigh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ht="15.75" customHeigh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ht="15.75" customHeigh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ht="15.75" customHeigh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ht="15.75" customHeigh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ht="15.75" customHeigh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ht="15.75" customHeigh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ht="15.75" customHeigh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ht="15.75" customHeigh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ht="15.75" customHeigh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ht="15.75" customHeigh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ht="15.75" customHeigh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ht="15.75" customHeigh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ht="15.75" customHeigh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ht="15.75" customHeigh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ht="15.75" customHeigh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ht="15.75" customHeigh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ht="15.75" customHeigh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ht="15.75" customHeigh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ht="15.75" customHeigh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ht="15.75" customHeigh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ht="15.75" customHeigh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ht="15.75" customHeigh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ht="15.75" customHeigh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ht="15.75" customHeigh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ht="15.75" customHeigh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ht="15.75" customHeigh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ht="15.75" customHeigh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ht="15.75" customHeigh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ht="15.75" customHeigh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ht="15.75" customHeigh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ht="15.75" customHeigh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ht="15.75" customHeigh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ht="15.75" customHeigh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ht="15.75" customHeigh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ht="15.75" customHeigh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ht="15.75" customHeigh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ht="15.75" customHeigh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ht="15.75" customHeigh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ht="15.75" customHeigh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ht="15.75" customHeigh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ht="15.75" customHeigh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ht="15.75" customHeigh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ht="15.75" customHeigh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ht="15.75" customHeigh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ht="15.75" customHeigh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ht="15.75" customHeigh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ht="15.75" customHeigh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ht="15.75" customHeigh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ht="15.75" customHeigh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ht="15.75" customHeigh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ht="15.75" customHeigh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ht="15.75" customHeigh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ht="15.75" customHeigh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ht="15.75" customHeigh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ht="15.75" customHeigh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ht="15.75" customHeigh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ht="15.75" customHeigh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ht="15.75" customHeigh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ht="15.75" customHeigh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ht="15.75" customHeigh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ht="15.75" customHeigh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ht="15.75" customHeigh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ht="15.75" customHeigh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ht="15.75" customHeigh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ht="15.75" customHeigh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ht="15.75" customHeigh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ht="15.75" customHeigh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ht="15.75" customHeigh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ht="15.75" customHeigh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ht="15.75" customHeigh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ht="15.75" customHeigh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ht="15.75" customHeigh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ht="15.75" customHeigh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ht="15.75" customHeigh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ht="15.75" customHeigh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ht="15.75" customHeigh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ht="15.75" customHeigh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ht="15.75" customHeigh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ht="15.75" customHeigh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ht="15.75" customHeigh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ht="15.75" customHeigh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ht="15.75" customHeigh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ht="15.75" customHeigh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ht="15.75" customHeigh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ht="15.75" customHeigh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ht="15.75" customHeigh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ht="15.75" customHeigh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ht="15.75" customHeigh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ht="15.75" customHeigh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ht="15.75" customHeigh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ht="15.75" customHeigh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ht="15.75" customHeigh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ht="15.75" customHeigh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ht="15.75" customHeigh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ht="15.75" customHeigh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ht="15.75" customHeigh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ht="15.75" customHeigh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ht="15.75" customHeigh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ht="15.75" customHeigh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ht="15.75" customHeigh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ht="15.75" customHeigh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ht="15.75" customHeigh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ht="15.75" customHeigh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ht="15.75" customHeigh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ht="15.75" customHeigh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ht="15.75" customHeigh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ht="15.75" customHeigh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ht="15.75" customHeigh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ht="15.75" customHeigh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ht="15.75" customHeigh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ht="15.75" customHeigh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ht="15.75" customHeigh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ht="15.75" customHeigh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ht="15.75" customHeigh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ht="15.75" customHeigh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ht="15.75" customHeigh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ht="15.75" customHeigh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ht="15.75" customHeigh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ht="15.75" customHeigh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ht="15.75" customHeigh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ht="15.75" customHeigh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ht="15.75" customHeigh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ht="15.75" customHeigh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ht="15.75" customHeigh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ht="15.75" customHeigh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ht="15.75" customHeigh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ht="15.75" customHeigh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ht="15.75" customHeigh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ht="15.75" customHeigh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ht="15.75" customHeigh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ht="15.75" customHeigh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ht="15.75" customHeigh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ht="15.75" customHeigh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ht="15.75" customHeigh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ht="15.75" customHeigh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ht="15.75" customHeigh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ht="15.75" customHeigh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ht="15.75" customHeigh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ht="15.75" customHeigh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ht="15.75" customHeigh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ht="15.75" customHeigh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ht="15.75" customHeigh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ht="15.75" customHeigh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ht="15.75" customHeigh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ht="15.75" customHeigh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ht="15.75" customHeigh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ht="15.75" customHeigh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ht="15.75" customHeigh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ht="15.75" customHeigh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ht="15.75" customHeigh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ht="15.75" customHeigh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ht="15.75" customHeigh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ht="15.75" customHeigh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ht="15.75" customHeigh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ht="15.75" customHeigh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ht="15.75" customHeigh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ht="15.75" customHeigh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ht="15.75" customHeigh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ht="15.75" customHeigh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ht="15.75" customHeigh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ht="15.75" customHeigh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ht="15.75" customHeigh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ht="15.75" customHeigh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ht="15.75" customHeigh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ht="15.75" customHeigh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ht="15.75" customHeigh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ht="15.75" customHeigh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ht="15.75" customHeigh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ht="15.75" customHeigh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ht="15.75" customHeigh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ht="15.75" customHeigh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ht="15.75" customHeigh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ht="15.75" customHeigh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ht="15.75" customHeigh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ht="15.75" customHeigh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ht="15.75" customHeigh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ht="15.75" customHeigh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ht="15.75" customHeigh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ht="15.75" customHeigh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ht="15.75" customHeigh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ht="15.75" customHeigh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ht="15.75" customHeigh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ht="15.75" customHeigh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ht="15.75" customHeigh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ht="15.75" customHeigh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ht="15.75" customHeigh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ht="15.75" customHeigh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ht="15.75" customHeigh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ht="15.75" customHeigh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ht="15.75" customHeigh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ht="15.75" customHeigh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ht="15.75" customHeigh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ht="15.75" customHeigh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ht="15.75" customHeigh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ht="15.75" customHeigh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ht="15.75" customHeigh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ht="15.75" customHeigh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ht="15.75" customHeigh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ht="15.75" customHeigh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ht="15.75" customHeigh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ht="15.75" customHeigh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ht="15.75" customHeigh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ht="15.75" customHeigh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ht="15.75" customHeigh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ht="15.75" customHeigh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ht="15.75" customHeigh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ht="15.75" customHeigh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ht="15.75" customHeigh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ht="15.75" customHeigh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ht="15.75" customHeigh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ht="15.75" customHeigh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ht="15.75" customHeigh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ht="15.75" customHeigh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ht="15.75" customHeigh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ht="15.75" customHeigh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ht="15.75" customHeigh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ht="15.75" customHeigh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ht="15.75" customHeigh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ht="15.75" customHeigh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ht="15.75" customHeigh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ht="15.75" customHeigh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ht="15.75" customHeigh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ht="15.75" customHeigh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ht="15.75" customHeigh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ht="15.75" customHeigh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ht="15.75" customHeigh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ht="15.75" customHeigh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ht="15.75" customHeigh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ht="15.75" customHeigh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ht="15.75" customHeigh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ht="15.75" customHeigh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ht="15.75" customHeigh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ht="15.75" customHeigh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ht="15.75" customHeigh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ht="15.75" customHeigh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ht="15.75" customHeigh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ht="15.75" customHeigh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ht="15.75" customHeigh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ht="15.75" customHeigh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ht="15.75" customHeigh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ht="15.75" customHeigh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ht="15.75" customHeigh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ht="15.75" customHeigh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ht="15.75" customHeigh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ht="15.75" customHeigh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ht="15.75" customHeigh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ht="15.75" customHeigh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ht="15.75" customHeigh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ht="15.75" customHeigh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ht="15.75" customHeigh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ht="15.75" customHeigh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ht="15.75" customHeigh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ht="15.75" customHeigh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ht="15.75" customHeigh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ht="15.75" customHeigh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ht="15.75" customHeigh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ht="15.75" customHeigh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ht="15.75" customHeigh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ht="15.75" customHeigh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ht="15.75" customHeigh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ht="15.75" customHeigh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ht="15.75" customHeigh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ht="15.75" customHeigh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ht="15.75" customHeigh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ht="15.75" customHeigh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ht="15.75" customHeigh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ht="15.75" customHeigh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ht="15.75" customHeigh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ht="15.75" customHeigh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ht="15.75" customHeigh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ht="15.75" customHeigh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ht="15.75" customHeigh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ht="15.75" customHeigh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ht="15.75" customHeigh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ht="15.75" customHeigh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ht="15.75" customHeigh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ht="15.75" customHeigh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ht="15.75" customHeigh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ht="15.75" customHeigh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ht="15.75" customHeigh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ht="15.75" customHeigh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ht="15.75" customHeigh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ht="15.75" customHeigh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ht="15.75" customHeigh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ht="15.75" customHeigh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ht="15.75" customHeigh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ht="15.75" customHeigh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ht="15.75" customHeigh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ht="15.75" customHeigh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ht="15.75" customHeigh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ht="15.75" customHeigh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ht="15.75" customHeigh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ht="15.75" customHeigh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ht="15.75" customHeigh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ht="15.75" customHeigh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ht="15.75" customHeigh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ht="15.75" customHeigh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ht="15.75" customHeigh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ht="15.75" customHeigh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ht="15.75" customHeigh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ht="15.75" customHeigh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ht="15.75" customHeigh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ht="15.75" customHeigh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ht="15.75" customHeigh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ht="15.75" customHeigh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ht="15.75" customHeigh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ht="15.75" customHeigh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ht="15.75" customHeigh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ht="15.75" customHeigh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ht="15.75" customHeigh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ht="15.75" customHeigh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207">
    <sortCondition ref="A2:A207"/>
    <sortCondition ref="B2:B207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A17" sqref="A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ACCOUNT'!AC121</f>
        <v>0</v>
      </c>
      <c r="C2" s="15">
        <f>B2*0.7</f>
        <v>0</v>
      </c>
      <c r="D2" s="15"/>
      <c r="E2" s="16"/>
      <c r="F2" s="15">
        <f>$C$2-D2</f>
        <v>0</v>
      </c>
    </row>
    <row r="3" spans="1:8" x14ac:dyDescent="0.25">
      <c r="A3" s="4" t="s">
        <v>229</v>
      </c>
      <c r="B3" s="15">
        <f>SUMIF('1ST TERM ACCOUNT'!T2:T120,6000)</f>
        <v>210000</v>
      </c>
      <c r="C3" s="15"/>
      <c r="D3" s="15"/>
      <c r="E3" s="16"/>
      <c r="F3" s="15">
        <f>$C$2-(D2+D3)</f>
        <v>0</v>
      </c>
    </row>
    <row r="4" spans="1:8" x14ac:dyDescent="0.25">
      <c r="A4" s="4" t="s">
        <v>228</v>
      </c>
      <c r="B4" s="15">
        <f>B3-B2</f>
        <v>210000</v>
      </c>
      <c r="C4" s="15"/>
      <c r="D4" s="15"/>
      <c r="E4" s="16"/>
      <c r="F4" s="15">
        <f>$C$2-(D2+D3+D4)</f>
        <v>0</v>
      </c>
    </row>
    <row r="5" spans="1:8" x14ac:dyDescent="0.25">
      <c r="B5" s="15"/>
      <c r="C5" s="15"/>
      <c r="D5" s="15"/>
      <c r="E5" s="16"/>
      <c r="F5" s="15">
        <f>$C$2-(D2+D3+D4+D5)</f>
        <v>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ACCOUNT'!AD121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ACCOUNT'!T2:T120,8000)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ACCOUNT'!AE121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ACCOUNT'!W2:W120)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2026-08-20T14:34:46Z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